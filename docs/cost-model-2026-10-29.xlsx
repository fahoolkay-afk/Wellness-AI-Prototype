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-Canada" sheetId="2" state="visible" r:id="rId4"/>
    <sheet name="A-US" sheetId="3" state="visible" r:id="rId5"/>
    <sheet name="B-Canada" sheetId="4" state="visible" r:id="rId6"/>
    <sheet name="B-US" sheetId="5" state="visible" r:id="rId7"/>
    <sheet name="C-Canada" sheetId="6" state="visible" r:id="rId8"/>
    <sheet name="C-US" sheetId="7" state="visible" r:id="rId9"/>
    <sheet name="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<sst xmlns="http://schemas.openxmlformats.org/spreadsheetml/2006/main" count="971" uniqueCount="271">
  <si>
    <t xml:space="preserve">Clinic messaging + AI receptionist - cost model inputs (prices USD, as of 2026-10-29)</t>
  </si>
  <si>
    <t xml:space="preserve">Legend: blue = editable input; yellow = key assumption; black = formula. Prices table: col C = Canada patients, col D = US patients. Volume table: col C/D/E = scenario A / B / C (per clinic).</t>
  </si>
  <si>
    <t xml:space="preserve">1. Unit prices</t>
  </si>
  <si>
    <t xml:space="preserve">Item</t>
  </si>
  <si>
    <t xml:space="preserve">Unit</t>
  </si>
  <si>
    <t xml:space="preserve">Canada</t>
  </si>
  <si>
    <t xml:space="preserve">US</t>
  </si>
  <si>
    <t xml:space="preserve">Source</t>
  </si>
  <si>
    <t xml:space="preserve">Verification status</t>
  </si>
  <si>
    <t xml:space="preserve">Claude Opus 5.5 input</t>
  </si>
  <si>
    <t xml:space="preserve">$/MTok</t>
  </si>
  <si>
    <t xml:space="preserve">https://platform.claude.com/docs/en/about-claude/pricing</t>
  </si>
  <si>
    <t xml:space="preserve">Verified: fetched official page 2026-10-29</t>
  </si>
  <si>
    <t xml:space="preserve">Claude Opus 5.5 output</t>
  </si>
  <si>
    <t xml:space="preserve">Claude Opus 5.5 cache read</t>
  </si>
  <si>
    <t xml:space="preserve">Claude Opus 5.5 cache write 5-min (1.25x)</t>
  </si>
  <si>
    <t xml:space="preserve">Claude Opus 5.5 cache write 1-hour (2x)</t>
  </si>
  <si>
    <t xml:space="preserve">Claude Sonnet 5.5 input</t>
  </si>
  <si>
    <t xml:space="preserve">Claude Sonnet 5.5 output</t>
  </si>
  <si>
    <t xml:space="preserve">Claude Sonnet 5.5 cache read</t>
  </si>
  <si>
    <t xml:space="preserve">Claude Sonnet 5.5 cache write 5-min (1.25x)</t>
  </si>
  <si>
    <t xml:space="preserve">Claude Sonnet 5.5 cache write 1-hour (2x)</t>
  </si>
  <si>
    <t xml:space="preserve">Claude Haiku 5.5 (prompts &lt;=100K) input</t>
  </si>
  <si>
    <t xml:space="preserve">Claude Haiku 5.5 (prompts &lt;=100K) output</t>
  </si>
  <si>
    <t xml:space="preserve">Claude Haiku 5.5 (prompts &lt;=100K) cache read</t>
  </si>
  <si>
    <t xml:space="preserve">Claude Haiku 5.5 (prompts &lt;=100K) cache write 5-min (1.25x)</t>
  </si>
  <si>
    <t xml:space="preserve">Claude Haiku 5.5 (prompts &lt;=100K) cache write 1-hour (2x)</t>
  </si>
  <si>
    <t xml:space="preserve">Data-residency multiplier (1.1 if inference_geo='us')</t>
  </si>
  <si>
    <t xml:space="preserve">x</t>
  </si>
  <si>
    <t xml:space="preserve">Twilio SMS outbound, long code</t>
  </si>
  <si>
    <t xml:space="preserve">$/segment</t>
  </si>
  <si>
    <t xml:space="preserve">https://www.twilio.com/en-us/sms/pricing/ca ; https://www.twilio.com/en-us/sms/pricing/us</t>
  </si>
  <si>
    <t xml:space="preserve">Official page seen via search index only (direct fetch blocked) - re-verify</t>
  </si>
  <si>
    <t xml:space="preserve">Twilio SMS inbound, long code</t>
  </si>
  <si>
    <t xml:space="preserve">Telnyx SMS outbound, long code</t>
  </si>
  <si>
    <t xml:space="preserve">$/part</t>
  </si>
  <si>
    <t xml:space="preserve">https://telnyx.com/pricing/messaging</t>
  </si>
  <si>
    <t xml:space="preserve">US: Official page seen via search index only (direct fetch blocked) - re-verify. CA: NOT VERIFIED (assumed = US)</t>
  </si>
  <si>
    <t xml:space="preserve">Telnyx SMS inbound, long code</t>
  </si>
  <si>
    <t xml:space="preserve">Carrier pass-through fee, outbound (blended)</t>
  </si>
  <si>
    <t xml:space="preserve">Derived blend. CA: Bell .0087, Rogers .0084, Telus .0073, Freedom/Videotron .0067, other .0064. US registered 10DLC: AT&amp;T .0035, T-Mobile .0045, Verizon .005 (weights 30/30/40). Official page seen via search index only (direct fetch blocked) - re-verify</t>
  </si>
  <si>
    <t xml:space="preserve">Carrier pass-through fee, inbound (blended)</t>
  </si>
  <si>
    <t xml:space="preserve">https://www.twilio.com/en-us/sms/pricing/us</t>
  </si>
  <si>
    <t xml:space="preserve">US: AT&amp;T .0035, T-Mobile .0025, Verizon 0 (blend). CA: none listed. Official page seen via search index only (direct fetch blocked) - re-verify</t>
  </si>
  <si>
    <t xml:space="preserve">Twilio local number (voice+SMS)</t>
  </si>
  <si>
    <t xml:space="preserve">$/month</t>
  </si>
  <si>
    <t xml:space="preserve">https://www.twilio.com/en-us/voice/pricing/ca ; https://www.twilio.com/en-us/voice/pricing/us</t>
  </si>
  <si>
    <t xml:space="preserve">Telnyx local number (SMS-enabled)</t>
  </si>
  <si>
    <t xml:space="preserve">US: Official page seen via search index only (direct fetch blocked) - re-verify. CA: NOT VERIFIED</t>
  </si>
  <si>
    <t xml:space="preserve">10DLC brand registration, Low-Volume Standard (one-time)</t>
  </si>
  <si>
    <t xml:space="preserve">$</t>
  </si>
  <si>
    <t xml:space="preserve">https://support.twilio.com/hc/en-us/articles/1260803965530-Pricing-and-Fees-for-A2P-10DLC-Service</t>
  </si>
  <si>
    <t xml:space="preserve">US only. Official page seen via search index only (direct fetch blocked) - re-verify (Standard brand incl. secondary vetting = $46)</t>
  </si>
  <si>
    <t xml:space="preserve">10DLC campaign vetting (one-time)</t>
  </si>
  <si>
    <t xml:space="preserve">US only. Official page seen via search index only (direct fetch blocked) - re-verify</t>
  </si>
  <si>
    <t xml:space="preserve">Twilio 10DLC campaign monthly (Low-Volume Mixed)</t>
  </si>
  <si>
    <t xml:space="preserve">US only. Official page seen via search index only (direct fetch blocked) - re-verify (Standard use case $10/mo, Sole Prop $2/mo)</t>
  </si>
  <si>
    <t xml:space="preserve">Telnyx 10DLC campaign monthly</t>
  </si>
  <si>
    <t xml:space="preserve">US only. Telnyx says '$2-$30 by use case' - exact low-volume fee NOT VERIFIED</t>
  </si>
  <si>
    <t xml:space="preserve">Months to amortise one-time fees</t>
  </si>
  <si>
    <t xml:space="preserve">months</t>
  </si>
  <si>
    <t xml:space="preserve">Assumption (modelling input)</t>
  </si>
  <si>
    <t xml:space="preserve">Meta WhatsApp utility template (North America)</t>
  </si>
  <si>
    <t xml:space="preserve">$/msg</t>
  </si>
  <si>
    <t xml:space="preserve">https://developers.facebook.com/documentation/business-messaging/whatsapp/pricing</t>
  </si>
  <si>
    <t xml:space="preserve">NOT VERIFIED on official page - third-party/derived; re-verify (Meta page confirms CA+US share 'North America' rates; figure from third-party rate tables)</t>
  </si>
  <si>
    <t xml:space="preserve">Meta WhatsApp authentication template</t>
  </si>
  <si>
    <t xml:space="preserve">NOT VERIFIED on official page - third-party/derived; re-verify</t>
  </si>
  <si>
    <t xml:space="preserve">Meta WhatsApp marketing template</t>
  </si>
  <si>
    <t xml:space="preserve">Meta WhatsApp service (free-form) msg beyond free tier</t>
  </si>
  <si>
    <t xml:space="preserve">https://developers.facebook.com/documentation/business-messaging/whatsapp/pricing ; https://help.twilio.com/articles/53100480177819</t>
  </si>
  <si>
    <t xml:space="preserve">Charged from 2026-10-01 at utility rate (third-party). 1,000 free/month/number from Meta page via search. NOT VERIFIED on official page - third-party/derived; re-verify</t>
  </si>
  <si>
    <t xml:space="preserve">Free service messages per business number</t>
  </si>
  <si>
    <t xml:space="preserve">msgs/month</t>
  </si>
  <si>
    <t xml:space="preserve">WhatsApp marketing deliverable to +1 US numbers? (1=yes,0=no)</t>
  </si>
  <si>
    <t xml:space="preserve">flag</t>
  </si>
  <si>
    <t xml:space="preserve">Meta paused US marketing templates since 2025-04-01</t>
  </si>
  <si>
    <t xml:space="preserve">Third-party reports pause still active Jul 2026; NOT VERIFIED for Oct 2026</t>
  </si>
  <si>
    <t xml:space="preserve">Twilio WhatsApp fee per message (sent OR received)</t>
  </si>
  <si>
    <t xml:space="preserve">https://www.twilio.com/en-us/whatsapp/pricing</t>
  </si>
  <si>
    <t xml:space="preserve">Messenger / Instagram DM per message</t>
  </si>
  <si>
    <t xml:space="preserve">https://developers.facebook.com/docs/messenger-platform/</t>
  </si>
  <si>
    <t xml:space="preserve">No per-message fee found; NOT VERIFIED on a pricing page</t>
  </si>
  <si>
    <t xml:space="preserve">ElevenLabs Agents per call minute (overage = effective rate on all plans)</t>
  </si>
  <si>
    <t xml:space="preserve">$/min</t>
  </si>
  <si>
    <t xml:space="preserve">https://elevenlabs.io/pricing/agents</t>
  </si>
  <si>
    <t xml:space="preserve">Official page seen via search index only (direct fetch blocked) - re-verify (Creator $22/275 min, Pro $99/1,238, Scale $299/3,738, Business $990/12,375; burst over concurrency = $0.16)</t>
  </si>
  <si>
    <t xml:space="preserve">ElevenLabs-hosted LLM pass-through</t>
  </si>
  <si>
    <t xml:space="preserve">ASSUMPTION - LLM billed separately per model; ElevenLabs shows estimate in dashboard. Not verified</t>
  </si>
  <si>
    <t xml:space="preserve">Twilio inbound local call (Programmable Voice, native integration)</t>
  </si>
  <si>
    <t xml:space="preserve">Twilio Elastic SIP origination, local</t>
  </si>
  <si>
    <t xml:space="preserve">https://www.twilio.com/en-us/sip-trunking/pricing/us</t>
  </si>
  <si>
    <t xml:space="preserve">Telnyx SIP trunk inbound local</t>
  </si>
  <si>
    <t xml:space="preserve">https://telnyx.com/pricing/elastic-sip</t>
  </si>
  <si>
    <t xml:space="preserve">Twilio ConversationRelay (alternative voice path, + voice + your LLM)</t>
  </si>
  <si>
    <t xml:space="preserve">https://www.twilio.com/en-us/products/conversational-ai/pricing</t>
  </si>
  <si>
    <t xml:space="preserve">SendGrid Email API Essentials (not HIPAA eligible)</t>
  </si>
  <si>
    <t xml:space="preserve">https://www.twilio.com/en-us/products/email-api/pricing</t>
  </si>
  <si>
    <t xml:space="preserve">Postmark Basic 10K (no BAA)</t>
  </si>
  <si>
    <t xml:space="preserve">https://postmarkapp.com/pricing</t>
  </si>
  <si>
    <t xml:space="preserve">Paubox Email API paid tier (BAA included); free &lt;=300/mo</t>
  </si>
  <si>
    <t xml:space="preserve">https://www.paubox.com/pricing/paubox-email-suite</t>
  </si>
  <si>
    <t xml:space="preserve">Search snippet garbled ('from $99/mo billed annually'). NOT VERIFIED</t>
  </si>
  <si>
    <t xml:space="preserve">Paubox free-tier email allowance</t>
  </si>
  <si>
    <t xml:space="preserve">emails/month</t>
  </si>
  <si>
    <t xml:space="preserve">Scenario C platform email (CA: Postmark ~75K; US: Paubox quote)</t>
  </si>
  <si>
    <t xml:space="preserve">https://postmarkapp.com/pricing ; https://www.paubox.com/pricing/paubox-email-suite</t>
  </si>
  <si>
    <t xml:space="preserve">CA: Postmark Pro 50K $60.50 + 25K x $1.30/K overage (derived). US: placeholder - Paubox volume pricing requires quote</t>
  </si>
  <si>
    <t xml:space="preserve">Scenario C SendGrid Pro (100K)</t>
  </si>
  <si>
    <t xml:space="preserve">2. AI token footprint (per API call)</t>
  </si>
  <si>
    <t xml:space="preserve">Value</t>
  </si>
  <si>
    <t xml:space="preserve">Notes</t>
  </si>
  <si>
    <t xml:space="preserve">Cacheable prefix: system prompt 1,450 + tools 1,160 + tool-use system prompt 286</t>
  </si>
  <si>
    <t xml:space="preserve">tokens</t>
  </si>
  <si>
    <t xml:space="preserve">src/ai/prompt.ts, src/ai/tools.ts ; https://platform.claude.com/docs/en/about-claude/pricing</t>
  </si>
  <si>
    <t xml:space="preserve">Above the 512-token cache minimum for Opus/Sonnet/Haiku 5.5 (https://platform.claude.com/docs/en/build-with-claude/prompt-caching)</t>
  </si>
  <si>
    <t xml:space="preserve">Per-turn context (uncached, after cache breakpoint)</t>
  </si>
  <si>
    <t xml:space="preserve">From brief / measured in code</t>
  </si>
  <si>
    <t xml:space="preserve">turnContext()</t>
  </si>
  <si>
    <t xml:space="preserve">Average conversation history per call</t>
  </si>
  <si>
    <t xml:space="preserve">~150 tokens/message, avg over 3 messages</t>
  </si>
  <si>
    <t xml:space="preserve">Average tool-loop carry (tool_use + tool_result + prior thinking)</t>
  </si>
  <si>
    <t xml:space="preserve">Assumption</t>
  </si>
  <si>
    <t xml:space="preserve">~250 tokens per extra round, avg 2 calls/message</t>
  </si>
  <si>
    <t xml:space="preserve">Output per call incl. tool calls + low-effort adaptive thinking</t>
  </si>
  <si>
    <t xml:space="preserve">reply 120 + tool call 60 + thinking ~50 per call, averaged over 2 calls</t>
  </si>
  <si>
    <t xml:space="preserve">Patient messages per text conversation</t>
  </si>
  <si>
    <t xml:space="preserve">msgs</t>
  </si>
  <si>
    <t xml:space="preserve">API calls per patient message</t>
  </si>
  <si>
    <t xml:space="preserve">calls</t>
  </si>
  <si>
    <t xml:space="preserve">1-3 (tool loop)</t>
  </si>
  <si>
    <t xml:space="preserve">Share of emails that are inbound threads the AI answers</t>
  </si>
  <si>
    <t xml:space="preserve">%</t>
  </si>
  <si>
    <t xml:space="preserve">rest are outbound reminders/receipts</t>
  </si>
  <si>
    <t xml:space="preserve">Utility reminders that get a patient reply (AI answers)</t>
  </si>
  <si>
    <t xml:space="preserve">each reply = 1 inbound + 1 service reply + AI calls</t>
  </si>
  <si>
    <t xml:space="preserve">AI replies per WhatsApp service conversation</t>
  </si>
  <si>
    <t xml:space="preserve">one reply per patient message</t>
  </si>
  <si>
    <t xml:space="preserve">SMS segments per outbound SMS</t>
  </si>
  <si>
    <t xml:space="preserve">segments</t>
  </si>
  <si>
    <t xml:space="preserve">Assumption: AI SMS replies capped ~320 chars (3 segments) in prompt.ts; reminders 1-2</t>
  </si>
  <si>
    <t xml:space="preserve">Emoji/curly quotes force UCS-2 (70 chars/segment)</t>
  </si>
  <si>
    <t xml:space="preserve">SMS segments per inbound SMS</t>
  </si>
  <si>
    <t xml:space="preserve">Average call length</t>
  </si>
  <si>
    <t xml:space="preserve">min</t>
  </si>
  <si>
    <t xml:space="preserve">Carrier-billed minutes per call (per-minute rounding)</t>
  </si>
  <si>
    <t xml:space="preserve">Twilio rounds each leg up to the full minute (https://www.twilio.com/en-us/voice/pricing/us)</t>
  </si>
  <si>
    <t xml:space="preserve">ElevenLabs billed on actual minutes</t>
  </si>
  <si>
    <t xml:space="preserve">Conversations that book</t>
  </si>
  <si>
    <t xml:space="preserve">applied to AI text conversations + calls</t>
  </si>
  <si>
    <t xml:space="preserve">3. Cache write fraction (share of API calls that pay a cache write)</t>
  </si>
  <si>
    <t xml:space="preserve">Scenario A</t>
  </si>
  <si>
    <t xml:space="preserve">Scenario B</t>
  </si>
  <si>
    <t xml:space="preserve">Scenario C (per clinic)</t>
  </si>
  <si>
    <t xml:space="preserve">5-minute TTL</t>
  </si>
  <si>
    <t xml:space="preserve">Poisson: A ~3.5 msgs/clinic-hour -&gt; 75% of messages arrive &gt;5 min after the last call; 2 calls/msg -&gt; 37.5% of calls write. B ~14/hr -&gt; 30% -&gt; 15%</t>
  </si>
  <si>
    <t xml:space="preserve">1-hour TTL</t>
  </si>
  <si>
    <t xml:space="preserve">Mostly first message of each day/gap &gt;1h</t>
  </si>
  <si>
    <t xml:space="preserve">4. Monthly volumes per clinic</t>
  </si>
  <si>
    <t xml:space="preserve">Clinics</t>
  </si>
  <si>
    <t xml:space="preserve">#</t>
  </si>
  <si>
    <t xml:space="preserve">C = 50 clinics like B</t>
  </si>
  <si>
    <t xml:space="preserve">Inbound SMS</t>
  </si>
  <si>
    <t xml:space="preserve">Outbound SMS (AI replies + reminders)</t>
  </si>
  <si>
    <t xml:space="preserve">WhatsApp conversations</t>
  </si>
  <si>
    <t xml:space="preserve">  of which patient-initiated service</t>
  </si>
  <si>
    <t xml:space="preserve">From brief / measured in code (rest = utility reminders)</t>
  </si>
  <si>
    <t xml:space="preserve">Marketing templates</t>
  </si>
  <si>
    <t xml:space="preserve">From brief / measured in code. US: routed to SMS while Meta's US marketing pause lasts</t>
  </si>
  <si>
    <t xml:space="preserve">Messenger/Instagram threads</t>
  </si>
  <si>
    <t xml:space="preserve">Phone calls</t>
  </si>
  <si>
    <t xml:space="preserve">Emails (all)</t>
  </si>
  <si>
    <t xml:space="preserve">ElevenLabs plan fee floor (Creator 22 / Pro 99 / Business 990)</t>
  </si>
  <si>
    <t xml:space="preserve">C = one platform Business plan for all 50 clinics (40 concurrent calls)</t>
  </si>
  <si>
    <t xml:space="preserve">Scenario A - Canada patients - monthly cost (USD)</t>
  </si>
  <si>
    <t xml:space="preserve">Scenario (A/B/C)</t>
  </si>
  <si>
    <t xml:space="preserve">A</t>
  </si>
  <si>
    <t xml:space="preserve">Patient country (CA/US)</t>
  </si>
  <si>
    <t xml:space="preserve">CA</t>
  </si>
  <si>
    <t xml:space="preserve">Volumes (whole scenario)</t>
  </si>
  <si>
    <t xml:space="preserve">Outbound SMS</t>
  </si>
  <si>
    <t xml:space="preserve">  marketing sent on WhatsApp</t>
  </si>
  <si>
    <t xml:space="preserve">  marketing sent as SMS (US pause)</t>
  </si>
  <si>
    <t xml:space="preserve">Outbound SMS segments</t>
  </si>
  <si>
    <t xml:space="preserve">Inbound SMS segments</t>
  </si>
  <si>
    <t xml:space="preserve">  service conversations</t>
  </si>
  <si>
    <t xml:space="preserve">  utility templates</t>
  </si>
  <si>
    <t xml:space="preserve">WhatsApp service replies (outbound free-form)</t>
  </si>
  <si>
    <t xml:space="preserve">WhatsApp inbound messages</t>
  </si>
  <si>
    <t xml:space="preserve">WhatsApp service msgs billable (after free tier)</t>
  </si>
  <si>
    <t xml:space="preserve">Messenger/IG threads</t>
  </si>
  <si>
    <t xml:space="preserve">Emails</t>
  </si>
  <si>
    <t xml:space="preserve">Calls</t>
  </si>
  <si>
    <t xml:space="preserve">ElevenLabs minutes</t>
  </si>
  <si>
    <t xml:space="preserve">Carrier-billed minutes</t>
  </si>
  <si>
    <t xml:space="preserve">AI text conversations</t>
  </si>
  <si>
    <t xml:space="preserve">AI API calls (text receptionist)</t>
  </si>
  <si>
    <t xml:space="preserve">Booked appointments (1 in 3 of AI text convs + calls)</t>
  </si>
  <si>
    <t xml:space="preserve">Configuration</t>
  </si>
  <si>
    <t xml:space="preserve">(i) All-Twilio + ElevenLabs + Opus 5.5</t>
  </si>
  <si>
    <t xml:space="preserve">(ii) Optimised + Opus 5.5</t>
  </si>
  <si>
    <t xml:space="preserve">(iii-a) Optimised + Sonnet 5.5</t>
  </si>
  <si>
    <t xml:space="preserve">(iii-b) Optimised + Haiku 5.5</t>
  </si>
  <si>
    <t xml:space="preserve">(ref) All-Twilio + Opus, NO caching</t>
  </si>
  <si>
    <t xml:space="preserve">SMS vendor (Twilio/Telnyx)</t>
  </si>
  <si>
    <t xml:space="preserve">Twilio</t>
  </si>
  <si>
    <t xml:space="preserve">Telnyx</t>
  </si>
  <si>
    <t xml:space="preserve">WhatsApp route (Twilio/Meta)</t>
  </si>
  <si>
    <t xml:space="preserve">Meta</t>
  </si>
  <si>
    <t xml:space="preserve">Voice path (TwilioNative/TwilioSIP/TelnyxSIP)</t>
  </si>
  <si>
    <t xml:space="preserve">TwilioNative</t>
  </si>
  <si>
    <t xml:space="preserve">TelnyxSIP</t>
  </si>
  <si>
    <t xml:space="preserve">Email (SendGrid/Postmark/Paubox/Best)</t>
  </si>
  <si>
    <t xml:space="preserve">SendGrid</t>
  </si>
  <si>
    <t xml:space="preserve">Best</t>
  </si>
  <si>
    <t xml:space="preserve">Text model (opus/sonnet/haiku)</t>
  </si>
  <si>
    <t xml:space="preserve">opus</t>
  </si>
  <si>
    <t xml:space="preserve">sonnet</t>
  </si>
  <si>
    <t xml:space="preserve">haiku</t>
  </si>
  <si>
    <t xml:space="preserve">Prompt cache TTL (5m/1h/none)</t>
  </si>
  <si>
    <t xml:space="preserve">5m</t>
  </si>
  <si>
    <t xml:space="preserve">1h</t>
  </si>
  <si>
    <t xml:space="preserve">none</t>
  </si>
  <si>
    <t xml:space="preserve">AI cost per API call</t>
  </si>
  <si>
    <t xml:space="preserve">Input price $/MTok</t>
  </si>
  <si>
    <t xml:space="preserve">Output price $/MTok</t>
  </si>
  <si>
    <t xml:space="preserve">Cache read $/MTok</t>
  </si>
  <si>
    <t xml:space="preserve">Cache write $/MTok (per TTL)</t>
  </si>
  <si>
    <t xml:space="preserve">Cache write fraction</t>
  </si>
  <si>
    <t xml:space="preserve">Prefix cost/call $</t>
  </si>
  <si>
    <t xml:space="preserve">Uncached input cost/call $</t>
  </si>
  <si>
    <t xml:space="preserve">Output cost/call $</t>
  </si>
  <si>
    <t xml:space="preserve">Total $ per API call</t>
  </si>
  <si>
    <t xml:space="preserve">$ per AI text conversation</t>
  </si>
  <si>
    <t xml:space="preserve">Monthly cost by line item ($)</t>
  </si>
  <si>
    <t xml:space="preserve">SMS usage (base + carrier fees)</t>
  </si>
  <si>
    <t xml:space="preserve">US 10DLC registration (amortised one-time + monthly campaign)</t>
  </si>
  <si>
    <t xml:space="preserve">Phone numbers (1 per clinic, voice+SMS+WhatsApp)</t>
  </si>
  <si>
    <t xml:space="preserve">WhatsApp Meta fees (utility + marketing + service over free tier)</t>
  </si>
  <si>
    <t xml:space="preserve">WhatsApp Twilio per-message fee (in + out)</t>
  </si>
  <si>
    <t xml:space="preserve">Messenger / Instagram</t>
  </si>
  <si>
    <t xml:space="preserve">Voice: ElevenLabs Agents minutes</t>
  </si>
  <si>
    <t xml:space="preserve">Voice: ElevenLabs LLM pass-through</t>
  </si>
  <si>
    <t xml:space="preserve">Voice: telephony (carrier minutes)</t>
  </si>
  <si>
    <t xml:space="preserve">AI text receptionist (Claude API)</t>
  </si>
  <si>
    <t xml:space="preserve">Email</t>
  </si>
  <si>
    <t xml:space="preserve">TOTAL per month</t>
  </si>
  <si>
    <t xml:space="preserve">Total per clinic per month</t>
  </si>
  <si>
    <t xml:space="preserve">Cost per booked appointment</t>
  </si>
  <si>
    <t xml:space="preserve">Voice share of total</t>
  </si>
  <si>
    <t xml:space="preserve">AI text share of total</t>
  </si>
  <si>
    <t xml:space="preserve">Excludes: HIPAA programme fees (Twilio Editions, ElevenLabs Enterprise BAA, Anthropic BAA/ZDR), hosting, taxes, Canadian sales tax/FX, failed-message fees ($0.001), burst voice pricing.</t>
  </si>
  <si>
    <t xml:space="preserve">Scenario A - US patients - monthly cost (USD)</t>
  </si>
  <si>
    <t xml:space="preserve">Scenario B - Canada patients - monthly cost (USD)</t>
  </si>
  <si>
    <t xml:space="preserve">B</t>
  </si>
  <si>
    <t xml:space="preserve">Scenario B - US patients - monthly cost (USD)</t>
  </si>
  <si>
    <t xml:space="preserve">Scenario C - Canada patients - monthly cost (USD)</t>
  </si>
  <si>
    <t xml:space="preserve">C</t>
  </si>
  <si>
    <t xml:space="preserve">Scenario C - US patients - monthly cost (USD)</t>
  </si>
  <si>
    <t xml:space="preserve">Monthly totals by scenario and configuration (USD)</t>
  </si>
  <si>
    <t xml:space="preserve">Scenario</t>
  </si>
  <si>
    <t xml:space="preserve">A-Canada</t>
  </si>
  <si>
    <t xml:space="preserve">A-US</t>
  </si>
  <si>
    <t xml:space="preserve">B-Canada</t>
  </si>
  <si>
    <t xml:space="preserve">B-US</t>
  </si>
  <si>
    <t xml:space="preserve">C-Canada</t>
  </si>
  <si>
    <t xml:space="preserve">C-US</t>
  </si>
  <si>
    <t xml:space="preserve">Per clinic per month</t>
  </si>
  <si>
    <t xml:space="preserve">Voice share</t>
  </si>
  <si>
    <t xml:space="preserve">AI text share</t>
  </si>
  <si>
    <t xml:space="preserve">Line items, config (ii) Optimised + Opus 5.5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</si>
</sst>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00;&quot;($&quot;#,##0.0000\);\-"/>
    <numFmt numFmtId="166" formatCode="0.00"/>
    <numFmt numFmtId="167" formatCode="\$#,##0.00;&quot;($&quot;#,##0.00\);\-"/>
    <numFmt numFmtId="168" formatCode="0"/>
    <numFmt numFmtId="169" formatCode="#,##0;\(#,##0\);\-"/>
    <numFmt numFmtId="170" formatCode="#,##0.00;\(#,##0.00\);\-"/>
    <numFmt numFmtId="171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6.15" hidden="false" customHeight="false" outlineLevel="0" collapsed="false">
      <c r="A4" s="1" t="s">
        <v>2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6" t="n">
        <v>4</v>
      </c>
      <c r="D6" s="6" t="n">
        <v>4</v>
      </c>
      <c r="E6" s="5" t="s">
        <v>11</v>
      </c>
      <c r="F6" s="5" t="s">
        <v>12</v>
      </c>
    </row>
    <row r="7" customFormat="false" ht="15" hidden="false" customHeight="false" outlineLevel="0" collapsed="false">
      <c r="A7" s="5" t="s">
        <v>13</v>
      </c>
      <c r="B7" s="5" t="s">
        <v>10</v>
      </c>
      <c r="C7" s="6" t="n">
        <v>20</v>
      </c>
      <c r="D7" s="6" t="n">
        <v>20</v>
      </c>
      <c r="E7" s="5" t="s">
        <v>11</v>
      </c>
      <c r="F7" s="5" t="s">
        <v>12</v>
      </c>
    </row>
    <row r="8" customFormat="false" ht="15" hidden="false" customHeight="false" outlineLevel="0" collapsed="false">
      <c r="A8" s="5" t="s">
        <v>14</v>
      </c>
      <c r="B8" s="5" t="s">
        <v>10</v>
      </c>
      <c r="C8" s="6" t="n">
        <v>0.2</v>
      </c>
      <c r="D8" s="6" t="n">
        <v>0.2</v>
      </c>
      <c r="E8" s="5" t="s">
        <v>11</v>
      </c>
      <c r="F8" s="5" t="s">
        <v>12</v>
      </c>
    </row>
    <row r="9" customFormat="false" ht="15" hidden="false" customHeight="false" outlineLevel="0" collapsed="false">
      <c r="A9" s="5" t="s">
        <v>15</v>
      </c>
      <c r="B9" s="5" t="s">
        <v>10</v>
      </c>
      <c r="C9" s="6" t="n">
        <v>5</v>
      </c>
      <c r="D9" s="6" t="n">
        <v>5</v>
      </c>
      <c r="E9" s="5" t="s">
        <v>11</v>
      </c>
      <c r="F9" s="5" t="s">
        <v>12</v>
      </c>
    </row>
    <row r="10" customFormat="false" ht="15" hidden="false" customHeight="false" outlineLevel="0" collapsed="false">
      <c r="A10" s="5" t="s">
        <v>16</v>
      </c>
      <c r="B10" s="5" t="s">
        <v>10</v>
      </c>
      <c r="C10" s="6" t="n">
        <v>8</v>
      </c>
      <c r="D10" s="6" t="n">
        <v>8</v>
      </c>
      <c r="E10" s="5" t="s">
        <v>11</v>
      </c>
      <c r="F10" s="5" t="s">
        <v>12</v>
      </c>
    </row>
    <row r="11" customFormat="false" ht="15" hidden="false" customHeight="false" outlineLevel="0" collapsed="false">
      <c r="A11" s="5" t="s">
        <v>17</v>
      </c>
      <c r="B11" s="5" t="s">
        <v>10</v>
      </c>
      <c r="C11" s="6" t="n">
        <v>2</v>
      </c>
      <c r="D11" s="6" t="n">
        <v>2</v>
      </c>
      <c r="E11" s="5" t="s">
        <v>11</v>
      </c>
      <c r="F11" s="5" t="s">
        <v>12</v>
      </c>
    </row>
    <row r="12" customFormat="false" ht="15" hidden="false" customHeight="false" outlineLevel="0" collapsed="false">
      <c r="A12" s="5" t="s">
        <v>18</v>
      </c>
      <c r="B12" s="5" t="s">
        <v>10</v>
      </c>
      <c r="C12" s="6" t="n">
        <v>10</v>
      </c>
      <c r="D12" s="6" t="n">
        <v>10</v>
      </c>
      <c r="E12" s="5" t="s">
        <v>11</v>
      </c>
      <c r="F12" s="5" t="s">
        <v>12</v>
      </c>
    </row>
    <row r="13" customFormat="false" ht="15" hidden="false" customHeight="false" outlineLevel="0" collapsed="false">
      <c r="A13" s="5" t="s">
        <v>19</v>
      </c>
      <c r="B13" s="5" t="s">
        <v>10</v>
      </c>
      <c r="C13" s="6" t="n">
        <v>0.1</v>
      </c>
      <c r="D13" s="6" t="n">
        <v>0.1</v>
      </c>
      <c r="E13" s="5" t="s">
        <v>11</v>
      </c>
      <c r="F13" s="5" t="s">
        <v>12</v>
      </c>
    </row>
    <row r="14" customFormat="false" ht="15" hidden="false" customHeight="false" outlineLevel="0" collapsed="false">
      <c r="A14" s="5" t="s">
        <v>20</v>
      </c>
      <c r="B14" s="5" t="s">
        <v>10</v>
      </c>
      <c r="C14" s="6" t="n">
        <v>2.5</v>
      </c>
      <c r="D14" s="6" t="n">
        <v>2.5</v>
      </c>
      <c r="E14" s="5" t="s">
        <v>11</v>
      </c>
      <c r="F14" s="5" t="s">
        <v>12</v>
      </c>
    </row>
    <row r="15" customFormat="false" ht="15" hidden="false" customHeight="false" outlineLevel="0" collapsed="false">
      <c r="A15" s="5" t="s">
        <v>21</v>
      </c>
      <c r="B15" s="5" t="s">
        <v>10</v>
      </c>
      <c r="C15" s="6" t="n">
        <v>4</v>
      </c>
      <c r="D15" s="6" t="n">
        <v>4</v>
      </c>
      <c r="E15" s="5" t="s">
        <v>11</v>
      </c>
      <c r="F15" s="5" t="s">
        <v>12</v>
      </c>
    </row>
    <row r="16" customFormat="false" ht="15" hidden="false" customHeight="false" outlineLevel="0" collapsed="false">
      <c r="A16" s="5" t="s">
        <v>22</v>
      </c>
      <c r="B16" s="5" t="s">
        <v>10</v>
      </c>
      <c r="C16" s="6" t="n">
        <v>0.1</v>
      </c>
      <c r="D16" s="6" t="n">
        <v>0.1</v>
      </c>
      <c r="E16" s="5" t="s">
        <v>11</v>
      </c>
      <c r="F16" s="5" t="s">
        <v>12</v>
      </c>
    </row>
    <row r="17" customFormat="false" ht="15" hidden="false" customHeight="false" outlineLevel="0" collapsed="false">
      <c r="A17" s="5" t="s">
        <v>23</v>
      </c>
      <c r="B17" s="5" t="s">
        <v>10</v>
      </c>
      <c r="C17" s="6" t="n">
        <v>0.5</v>
      </c>
      <c r="D17" s="6" t="n">
        <v>0.5</v>
      </c>
      <c r="E17" s="5" t="s">
        <v>11</v>
      </c>
      <c r="F17" s="5" t="s">
        <v>12</v>
      </c>
    </row>
    <row r="18" customFormat="false" ht="15" hidden="false" customHeight="false" outlineLevel="0" collapsed="false">
      <c r="A18" s="5" t="s">
        <v>24</v>
      </c>
      <c r="B18" s="5" t="s">
        <v>10</v>
      </c>
      <c r="C18" s="6" t="n">
        <v>0.01</v>
      </c>
      <c r="D18" s="6" t="n">
        <v>0.01</v>
      </c>
      <c r="E18" s="5" t="s">
        <v>11</v>
      </c>
      <c r="F18" s="5" t="s">
        <v>12</v>
      </c>
    </row>
    <row r="19" customFormat="false" ht="15" hidden="false" customHeight="false" outlineLevel="0" collapsed="false">
      <c r="A19" s="5" t="s">
        <v>25</v>
      </c>
      <c r="B19" s="5" t="s">
        <v>10</v>
      </c>
      <c r="C19" s="6" t="n">
        <v>0.125</v>
      </c>
      <c r="D19" s="6" t="n">
        <v>0.125</v>
      </c>
      <c r="E19" s="5" t="s">
        <v>11</v>
      </c>
      <c r="F19" s="5" t="s">
        <v>12</v>
      </c>
    </row>
    <row r="20" customFormat="false" ht="15" hidden="false" customHeight="false" outlineLevel="0" collapsed="false">
      <c r="A20" s="5" t="s">
        <v>26</v>
      </c>
      <c r="B20" s="5" t="s">
        <v>10</v>
      </c>
      <c r="C20" s="6" t="n">
        <v>0.2</v>
      </c>
      <c r="D20" s="6" t="n">
        <v>0.2</v>
      </c>
      <c r="E20" s="5" t="s">
        <v>11</v>
      </c>
      <c r="F20" s="5" t="s">
        <v>12</v>
      </c>
    </row>
    <row r="21" customFormat="false" ht="15" hidden="false" customHeight="false" outlineLevel="0" collapsed="false">
      <c r="A21" s="5" t="s">
        <v>27</v>
      </c>
      <c r="B21" s="5" t="s">
        <v>28</v>
      </c>
      <c r="C21" s="7" t="n">
        <v>1</v>
      </c>
      <c r="D21" s="7" t="n">
        <v>1</v>
      </c>
      <c r="E21" s="5" t="s">
        <v>11</v>
      </c>
      <c r="F21" s="5" t="s">
        <v>12</v>
      </c>
    </row>
    <row r="22" customFormat="false" ht="15" hidden="false" customHeight="false" outlineLevel="0" collapsed="false">
      <c r="A22" s="5" t="s">
        <v>29</v>
      </c>
      <c r="B22" s="5" t="s">
        <v>30</v>
      </c>
      <c r="C22" s="6" t="n">
        <v>0.0083</v>
      </c>
      <c r="D22" s="6" t="n">
        <v>0.0083</v>
      </c>
      <c r="E22" s="5" t="s">
        <v>31</v>
      </c>
      <c r="F22" s="5" t="s">
        <v>32</v>
      </c>
    </row>
    <row r="23" customFormat="false" ht="15" hidden="false" customHeight="false" outlineLevel="0" collapsed="false">
      <c r="A23" s="5" t="s">
        <v>33</v>
      </c>
      <c r="B23" s="5" t="s">
        <v>30</v>
      </c>
      <c r="C23" s="6" t="n">
        <v>0.0083</v>
      </c>
      <c r="D23" s="6" t="n">
        <v>0.0083</v>
      </c>
      <c r="E23" s="5" t="s">
        <v>31</v>
      </c>
      <c r="F23" s="5" t="s">
        <v>32</v>
      </c>
    </row>
    <row r="24" customFormat="false" ht="15" hidden="false" customHeight="false" outlineLevel="0" collapsed="false">
      <c r="A24" s="5" t="s">
        <v>34</v>
      </c>
      <c r="B24" s="5" t="s">
        <v>35</v>
      </c>
      <c r="C24" s="6" t="n">
        <v>0.004</v>
      </c>
      <c r="D24" s="6" t="n">
        <v>0.004</v>
      </c>
      <c r="E24" s="5" t="s">
        <v>36</v>
      </c>
      <c r="F24" s="5" t="s">
        <v>37</v>
      </c>
    </row>
    <row r="25" customFormat="false" ht="15" hidden="false" customHeight="false" outlineLevel="0" collapsed="false">
      <c r="A25" s="5" t="s">
        <v>38</v>
      </c>
      <c r="B25" s="5" t="s">
        <v>35</v>
      </c>
      <c r="C25" s="6" t="n">
        <v>0.004</v>
      </c>
      <c r="D25" s="6" t="n">
        <v>0.004</v>
      </c>
      <c r="E25" s="5" t="s">
        <v>36</v>
      </c>
      <c r="F25" s="5" t="s">
        <v>37</v>
      </c>
    </row>
    <row r="26" customFormat="false" ht="15" hidden="false" customHeight="false" outlineLevel="0" collapsed="false">
      <c r="A26" s="5" t="s">
        <v>39</v>
      </c>
      <c r="B26" s="5" t="s">
        <v>30</v>
      </c>
      <c r="C26" s="8" t="n">
        <v>0.008</v>
      </c>
      <c r="D26" s="8" t="n">
        <v>0.0044</v>
      </c>
      <c r="E26" s="5" t="s">
        <v>31</v>
      </c>
      <c r="F26" s="5" t="s">
        <v>40</v>
      </c>
    </row>
    <row r="27" customFormat="false" ht="15" hidden="false" customHeight="false" outlineLevel="0" collapsed="false">
      <c r="A27" s="5" t="s">
        <v>41</v>
      </c>
      <c r="B27" s="5" t="s">
        <v>30</v>
      </c>
      <c r="C27" s="6" t="n">
        <v>0</v>
      </c>
      <c r="D27" s="6" t="n">
        <v>0.0018</v>
      </c>
      <c r="E27" s="5" t="s">
        <v>42</v>
      </c>
      <c r="F27" s="5" t="s">
        <v>43</v>
      </c>
    </row>
    <row r="28" customFormat="false" ht="15" hidden="false" customHeight="false" outlineLevel="0" collapsed="false">
      <c r="A28" s="5" t="s">
        <v>44</v>
      </c>
      <c r="B28" s="5" t="s">
        <v>45</v>
      </c>
      <c r="C28" s="9" t="n">
        <v>1.15</v>
      </c>
      <c r="D28" s="9" t="n">
        <v>1.15</v>
      </c>
      <c r="E28" s="5" t="s">
        <v>46</v>
      </c>
      <c r="F28" s="5" t="s">
        <v>32</v>
      </c>
    </row>
    <row r="29" customFormat="false" ht="15" hidden="false" customHeight="false" outlineLevel="0" collapsed="false">
      <c r="A29" s="5" t="s">
        <v>47</v>
      </c>
      <c r="B29" s="5" t="s">
        <v>45</v>
      </c>
      <c r="C29" s="9" t="n">
        <v>1.1</v>
      </c>
      <c r="D29" s="9" t="n">
        <v>1.1</v>
      </c>
      <c r="E29" s="5" t="s">
        <v>36</v>
      </c>
      <c r="F29" s="5" t="s">
        <v>48</v>
      </c>
    </row>
    <row r="30" customFormat="false" ht="15" hidden="false" customHeight="false" outlineLevel="0" collapsed="false">
      <c r="A30" s="5" t="s">
        <v>49</v>
      </c>
      <c r="B30" s="5" t="s">
        <v>50</v>
      </c>
      <c r="C30" s="9" t="n">
        <v>0</v>
      </c>
      <c r="D30" s="9" t="n">
        <v>4.5</v>
      </c>
      <c r="E30" s="5" t="s">
        <v>51</v>
      </c>
      <c r="F30" s="5" t="s">
        <v>52</v>
      </c>
    </row>
    <row r="31" customFormat="false" ht="15" hidden="false" customHeight="false" outlineLevel="0" collapsed="false">
      <c r="A31" s="5" t="s">
        <v>53</v>
      </c>
      <c r="B31" s="5" t="s">
        <v>50</v>
      </c>
      <c r="C31" s="9" t="n">
        <v>0</v>
      </c>
      <c r="D31" s="9" t="n">
        <v>15</v>
      </c>
      <c r="E31" s="5" t="s">
        <v>51</v>
      </c>
      <c r="F31" s="5" t="s">
        <v>54</v>
      </c>
    </row>
    <row r="32" customFormat="false" ht="15" hidden="false" customHeight="false" outlineLevel="0" collapsed="false">
      <c r="A32" s="5" t="s">
        <v>55</v>
      </c>
      <c r="B32" s="5" t="s">
        <v>45</v>
      </c>
      <c r="C32" s="9" t="n">
        <v>0</v>
      </c>
      <c r="D32" s="9" t="n">
        <v>1.5</v>
      </c>
      <c r="E32" s="5" t="s">
        <v>51</v>
      </c>
      <c r="F32" s="5" t="s">
        <v>56</v>
      </c>
    </row>
    <row r="33" customFormat="false" ht="15" hidden="false" customHeight="false" outlineLevel="0" collapsed="false">
      <c r="A33" s="5" t="s">
        <v>57</v>
      </c>
      <c r="B33" s="5" t="s">
        <v>45</v>
      </c>
      <c r="C33" s="9" t="n">
        <v>0</v>
      </c>
      <c r="D33" s="9" t="n">
        <v>2</v>
      </c>
      <c r="E33" s="5" t="s">
        <v>36</v>
      </c>
      <c r="F33" s="5" t="s">
        <v>58</v>
      </c>
    </row>
    <row r="34" customFormat="false" ht="15" hidden="false" customHeight="false" outlineLevel="0" collapsed="false">
      <c r="A34" s="5" t="s">
        <v>59</v>
      </c>
      <c r="B34" s="5" t="s">
        <v>60</v>
      </c>
      <c r="C34" s="10" t="n">
        <v>12</v>
      </c>
      <c r="D34" s="10" t="n">
        <v>12</v>
      </c>
      <c r="E34" s="5"/>
      <c r="F34" s="5" t="s">
        <v>61</v>
      </c>
    </row>
    <row r="35" customFormat="false" ht="15" hidden="false" customHeight="false" outlineLevel="0" collapsed="false">
      <c r="A35" s="5" t="s">
        <v>62</v>
      </c>
      <c r="B35" s="5" t="s">
        <v>63</v>
      </c>
      <c r="C35" s="8" t="n">
        <v>0.0034</v>
      </c>
      <c r="D35" s="8" t="n">
        <v>0.0034</v>
      </c>
      <c r="E35" s="5" t="s">
        <v>64</v>
      </c>
      <c r="F35" s="5" t="s">
        <v>65</v>
      </c>
    </row>
    <row r="36" customFormat="false" ht="15" hidden="false" customHeight="false" outlineLevel="0" collapsed="false">
      <c r="A36" s="5" t="s">
        <v>66</v>
      </c>
      <c r="B36" s="5" t="s">
        <v>63</v>
      </c>
      <c r="C36" s="6" t="n">
        <v>0.0034</v>
      </c>
      <c r="D36" s="6" t="n">
        <v>0.0034</v>
      </c>
      <c r="E36" s="5" t="s">
        <v>64</v>
      </c>
      <c r="F36" s="5" t="s">
        <v>67</v>
      </c>
    </row>
    <row r="37" customFormat="false" ht="15" hidden="false" customHeight="false" outlineLevel="0" collapsed="false">
      <c r="A37" s="5" t="s">
        <v>68</v>
      </c>
      <c r="B37" s="5" t="s">
        <v>63</v>
      </c>
      <c r="C37" s="6" t="n">
        <v>0.025</v>
      </c>
      <c r="D37" s="6" t="n">
        <v>0.025</v>
      </c>
      <c r="E37" s="5" t="s">
        <v>64</v>
      </c>
      <c r="F37" s="5" t="s">
        <v>67</v>
      </c>
    </row>
    <row r="38" customFormat="false" ht="15" hidden="false" customHeight="false" outlineLevel="0" collapsed="false">
      <c r="A38" s="5" t="s">
        <v>69</v>
      </c>
      <c r="B38" s="5" t="s">
        <v>63</v>
      </c>
      <c r="C38" s="8" t="n">
        <v>0.0034</v>
      </c>
      <c r="D38" s="8" t="n">
        <v>0.0034</v>
      </c>
      <c r="E38" s="5" t="s">
        <v>70</v>
      </c>
      <c r="F38" s="5" t="s">
        <v>71</v>
      </c>
    </row>
    <row r="39" customFormat="false" ht="15" hidden="false" customHeight="false" outlineLevel="0" collapsed="false">
      <c r="A39" s="5" t="s">
        <v>72</v>
      </c>
      <c r="B39" s="5" t="s">
        <v>73</v>
      </c>
      <c r="C39" s="11" t="n">
        <v>1000</v>
      </c>
      <c r="D39" s="11" t="n">
        <v>1000</v>
      </c>
      <c r="E39" s="5" t="s">
        <v>70</v>
      </c>
      <c r="F39" s="5" t="s">
        <v>32</v>
      </c>
    </row>
    <row r="40" customFormat="false" ht="15" hidden="false" customHeight="false" outlineLevel="0" collapsed="false">
      <c r="A40" s="5" t="s">
        <v>74</v>
      </c>
      <c r="B40" s="5" t="s">
        <v>75</v>
      </c>
      <c r="C40" s="10" t="n">
        <v>1</v>
      </c>
      <c r="D40" s="10" t="n">
        <v>0</v>
      </c>
      <c r="E40" s="5" t="s">
        <v>76</v>
      </c>
      <c r="F40" s="5" t="s">
        <v>77</v>
      </c>
    </row>
    <row r="41" customFormat="false" ht="15" hidden="false" customHeight="false" outlineLevel="0" collapsed="false">
      <c r="A41" s="5" t="s">
        <v>78</v>
      </c>
      <c r="B41" s="5" t="s">
        <v>63</v>
      </c>
      <c r="C41" s="6" t="n">
        <v>0.005</v>
      </c>
      <c r="D41" s="6" t="n">
        <v>0.005</v>
      </c>
      <c r="E41" s="5" t="s">
        <v>79</v>
      </c>
      <c r="F41" s="5" t="s">
        <v>32</v>
      </c>
    </row>
    <row r="42" customFormat="false" ht="15" hidden="false" customHeight="false" outlineLevel="0" collapsed="false">
      <c r="A42" s="5" t="s">
        <v>80</v>
      </c>
      <c r="B42" s="5" t="s">
        <v>63</v>
      </c>
      <c r="C42" s="6" t="n">
        <v>0</v>
      </c>
      <c r="D42" s="6" t="n">
        <v>0</v>
      </c>
      <c r="E42" s="5" t="s">
        <v>81</v>
      </c>
      <c r="F42" s="5" t="s">
        <v>82</v>
      </c>
    </row>
    <row r="43" customFormat="false" ht="15" hidden="false" customHeight="false" outlineLevel="0" collapsed="false">
      <c r="A43" s="5" t="s">
        <v>83</v>
      </c>
      <c r="B43" s="5" t="s">
        <v>84</v>
      </c>
      <c r="C43" s="8" t="n">
        <v>0.08</v>
      </c>
      <c r="D43" s="8" t="n">
        <v>0.08</v>
      </c>
      <c r="E43" s="5" t="s">
        <v>85</v>
      </c>
      <c r="F43" s="5" t="s">
        <v>86</v>
      </c>
    </row>
    <row r="44" customFormat="false" ht="15" hidden="false" customHeight="false" outlineLevel="0" collapsed="false">
      <c r="A44" s="5" t="s">
        <v>87</v>
      </c>
      <c r="B44" s="5" t="s">
        <v>84</v>
      </c>
      <c r="C44" s="8" t="n">
        <v>0.01</v>
      </c>
      <c r="D44" s="8" t="n">
        <v>0.01</v>
      </c>
      <c r="E44" s="5" t="s">
        <v>85</v>
      </c>
      <c r="F44" s="5" t="s">
        <v>88</v>
      </c>
    </row>
    <row r="45" customFormat="false" ht="15" hidden="false" customHeight="false" outlineLevel="0" collapsed="false">
      <c r="A45" s="5" t="s">
        <v>89</v>
      </c>
      <c r="B45" s="5" t="s">
        <v>84</v>
      </c>
      <c r="C45" s="6" t="n">
        <v>0.0085</v>
      </c>
      <c r="D45" s="6" t="n">
        <v>0.0085</v>
      </c>
      <c r="E45" s="5" t="s">
        <v>46</v>
      </c>
      <c r="F45" s="5" t="s">
        <v>32</v>
      </c>
    </row>
    <row r="46" customFormat="false" ht="15" hidden="false" customHeight="false" outlineLevel="0" collapsed="false">
      <c r="A46" s="5" t="s">
        <v>90</v>
      </c>
      <c r="B46" s="5" t="s">
        <v>84</v>
      </c>
      <c r="C46" s="6" t="n">
        <v>0.0034</v>
      </c>
      <c r="D46" s="6" t="n">
        <v>0.0034</v>
      </c>
      <c r="E46" s="5" t="s">
        <v>91</v>
      </c>
      <c r="F46" s="5" t="s">
        <v>48</v>
      </c>
    </row>
    <row r="47" customFormat="false" ht="15" hidden="false" customHeight="false" outlineLevel="0" collapsed="false">
      <c r="A47" s="5" t="s">
        <v>92</v>
      </c>
      <c r="B47" s="5" t="s">
        <v>84</v>
      </c>
      <c r="C47" s="6" t="n">
        <v>0.0032</v>
      </c>
      <c r="D47" s="6" t="n">
        <v>0.0032</v>
      </c>
      <c r="E47" s="5" t="s">
        <v>93</v>
      </c>
      <c r="F47" s="5" t="s">
        <v>37</v>
      </c>
    </row>
    <row r="48" customFormat="false" ht="15" hidden="false" customHeight="false" outlineLevel="0" collapsed="false">
      <c r="A48" s="5" t="s">
        <v>94</v>
      </c>
      <c r="B48" s="5" t="s">
        <v>84</v>
      </c>
      <c r="C48" s="6" t="n">
        <v>0.07</v>
      </c>
      <c r="D48" s="6" t="n">
        <v>0.07</v>
      </c>
      <c r="E48" s="5" t="s">
        <v>95</v>
      </c>
      <c r="F48" s="5" t="s">
        <v>32</v>
      </c>
    </row>
    <row r="49" customFormat="false" ht="15" hidden="false" customHeight="false" outlineLevel="0" collapsed="false">
      <c r="A49" s="5" t="s">
        <v>96</v>
      </c>
      <c r="B49" s="5" t="s">
        <v>45</v>
      </c>
      <c r="C49" s="9" t="n">
        <v>19.95</v>
      </c>
      <c r="D49" s="9" t="n">
        <v>19.95</v>
      </c>
      <c r="E49" s="5" t="s">
        <v>97</v>
      </c>
      <c r="F49" s="5" t="s">
        <v>32</v>
      </c>
    </row>
    <row r="50" customFormat="false" ht="15" hidden="false" customHeight="false" outlineLevel="0" collapsed="false">
      <c r="A50" s="5" t="s">
        <v>98</v>
      </c>
      <c r="B50" s="5" t="s">
        <v>45</v>
      </c>
      <c r="C50" s="9" t="n">
        <v>15</v>
      </c>
      <c r="D50" s="9" t="n">
        <v>15</v>
      </c>
      <c r="E50" s="5" t="s">
        <v>99</v>
      </c>
      <c r="F50" s="5" t="s">
        <v>32</v>
      </c>
    </row>
    <row r="51" customFormat="false" ht="15" hidden="false" customHeight="false" outlineLevel="0" collapsed="false">
      <c r="A51" s="5" t="s">
        <v>100</v>
      </c>
      <c r="B51" s="5" t="s">
        <v>45</v>
      </c>
      <c r="C51" s="9" t="n">
        <v>99</v>
      </c>
      <c r="D51" s="9" t="n">
        <v>99</v>
      </c>
      <c r="E51" s="5" t="s">
        <v>101</v>
      </c>
      <c r="F51" s="5" t="s">
        <v>102</v>
      </c>
    </row>
    <row r="52" customFormat="false" ht="15" hidden="false" customHeight="false" outlineLevel="0" collapsed="false">
      <c r="A52" s="5" t="s">
        <v>103</v>
      </c>
      <c r="B52" s="5" t="s">
        <v>104</v>
      </c>
      <c r="C52" s="11" t="n">
        <v>300</v>
      </c>
      <c r="D52" s="11" t="n">
        <v>300</v>
      </c>
      <c r="E52" s="5" t="s">
        <v>101</v>
      </c>
      <c r="F52" s="5" t="s">
        <v>32</v>
      </c>
    </row>
    <row r="53" customFormat="false" ht="15" hidden="false" customHeight="false" outlineLevel="0" collapsed="false">
      <c r="A53" s="5" t="s">
        <v>105</v>
      </c>
      <c r="B53" s="5" t="s">
        <v>45</v>
      </c>
      <c r="C53" s="9" t="n">
        <v>93</v>
      </c>
      <c r="D53" s="9" t="n">
        <v>500</v>
      </c>
      <c r="E53" s="5" t="s">
        <v>106</v>
      </c>
      <c r="F53" s="5" t="s">
        <v>107</v>
      </c>
    </row>
    <row r="54" customFormat="false" ht="15" hidden="false" customHeight="false" outlineLevel="0" collapsed="false">
      <c r="A54" s="5" t="s">
        <v>108</v>
      </c>
      <c r="B54" s="5" t="s">
        <v>45</v>
      </c>
      <c r="C54" s="9" t="n">
        <v>89.95</v>
      </c>
      <c r="D54" s="9" t="n">
        <v>89.95</v>
      </c>
      <c r="E54" s="5" t="s">
        <v>97</v>
      </c>
      <c r="F54" s="5" t="s">
        <v>32</v>
      </c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</row>
    <row r="56" customFormat="false" ht="16.15" hidden="false" customHeight="false" outlineLevel="0" collapsed="false">
      <c r="A56" s="1" t="s">
        <v>109</v>
      </c>
      <c r="B56" s="2"/>
      <c r="C56" s="2"/>
      <c r="D56" s="2"/>
      <c r="E56" s="2"/>
      <c r="F56" s="2"/>
    </row>
    <row r="57" customFormat="false" ht="15" hidden="false" customHeight="false" outlineLevel="0" collapsed="false">
      <c r="A57" s="4" t="s">
        <v>3</v>
      </c>
      <c r="B57" s="4" t="s">
        <v>4</v>
      </c>
      <c r="C57" s="4" t="s">
        <v>110</v>
      </c>
      <c r="D57" s="4"/>
      <c r="E57" s="4" t="s">
        <v>7</v>
      </c>
      <c r="F57" s="4" t="s">
        <v>111</v>
      </c>
    </row>
    <row r="58" customFormat="false" ht="15" hidden="false" customHeight="false" outlineLevel="0" collapsed="false">
      <c r="A58" s="2" t="s">
        <v>112</v>
      </c>
      <c r="B58" s="2" t="s">
        <v>113</v>
      </c>
      <c r="C58" s="11" t="n">
        <v>2896</v>
      </c>
      <c r="D58" s="2"/>
      <c r="E58" s="2" t="s">
        <v>114</v>
      </c>
      <c r="F58" s="2" t="s">
        <v>115</v>
      </c>
    </row>
    <row r="59" customFormat="false" ht="15" hidden="false" customHeight="false" outlineLevel="0" collapsed="false">
      <c r="A59" s="2" t="s">
        <v>116</v>
      </c>
      <c r="B59" s="2" t="s">
        <v>113</v>
      </c>
      <c r="C59" s="11" t="n">
        <v>80</v>
      </c>
      <c r="D59" s="2"/>
      <c r="E59" s="2" t="s">
        <v>117</v>
      </c>
      <c r="F59" s="2" t="s">
        <v>118</v>
      </c>
    </row>
    <row r="60" customFormat="false" ht="15" hidden="false" customHeight="false" outlineLevel="0" collapsed="false">
      <c r="A60" s="2" t="s">
        <v>119</v>
      </c>
      <c r="B60" s="2" t="s">
        <v>113</v>
      </c>
      <c r="C60" s="11" t="n">
        <v>300</v>
      </c>
      <c r="D60" s="2"/>
      <c r="E60" s="2" t="s">
        <v>117</v>
      </c>
      <c r="F60" s="2" t="s">
        <v>120</v>
      </c>
    </row>
    <row r="61" customFormat="false" ht="15" hidden="false" customHeight="false" outlineLevel="0" collapsed="false">
      <c r="A61" s="2" t="s">
        <v>121</v>
      </c>
      <c r="B61" s="2" t="s">
        <v>113</v>
      </c>
      <c r="C61" s="11" t="n">
        <v>125</v>
      </c>
      <c r="D61" s="2"/>
      <c r="E61" s="2" t="s">
        <v>122</v>
      </c>
      <c r="F61" s="2" t="s">
        <v>123</v>
      </c>
    </row>
    <row r="62" customFormat="false" ht="15" hidden="false" customHeight="false" outlineLevel="0" collapsed="false">
      <c r="A62" s="2" t="s">
        <v>124</v>
      </c>
      <c r="B62" s="2" t="s">
        <v>113</v>
      </c>
      <c r="C62" s="12" t="n">
        <v>140</v>
      </c>
      <c r="D62" s="2"/>
      <c r="E62" s="2" t="s">
        <v>122</v>
      </c>
      <c r="F62" s="2" t="s">
        <v>125</v>
      </c>
    </row>
    <row r="63" customFormat="false" ht="15" hidden="false" customHeight="false" outlineLevel="0" collapsed="false">
      <c r="A63" s="2" t="s">
        <v>126</v>
      </c>
      <c r="B63" s="2" t="s">
        <v>127</v>
      </c>
      <c r="C63" s="11" t="n">
        <v>3</v>
      </c>
      <c r="D63" s="2"/>
      <c r="E63" s="2" t="s">
        <v>117</v>
      </c>
      <c r="F63" s="2"/>
    </row>
    <row r="64" customFormat="false" ht="15" hidden="false" customHeight="false" outlineLevel="0" collapsed="false">
      <c r="A64" s="2" t="s">
        <v>128</v>
      </c>
      <c r="B64" s="2" t="s">
        <v>129</v>
      </c>
      <c r="C64" s="13" t="n">
        <v>2</v>
      </c>
      <c r="D64" s="2"/>
      <c r="E64" s="2" t="s">
        <v>117</v>
      </c>
      <c r="F64" s="2" t="s">
        <v>130</v>
      </c>
    </row>
    <row r="65" customFormat="false" ht="15" hidden="false" customHeight="false" outlineLevel="0" collapsed="false">
      <c r="A65" s="2" t="s">
        <v>131</v>
      </c>
      <c r="B65" s="2" t="s">
        <v>132</v>
      </c>
      <c r="C65" s="14" t="n">
        <v>0.1</v>
      </c>
      <c r="D65" s="2"/>
      <c r="E65" s="2" t="s">
        <v>122</v>
      </c>
      <c r="F65" s="2" t="s">
        <v>133</v>
      </c>
    </row>
    <row r="66" customFormat="false" ht="15" hidden="false" customHeight="false" outlineLevel="0" collapsed="false">
      <c r="A66" s="2" t="s">
        <v>134</v>
      </c>
      <c r="B66" s="2" t="s">
        <v>132</v>
      </c>
      <c r="C66" s="14" t="n">
        <v>0.5</v>
      </c>
      <c r="D66" s="2"/>
      <c r="E66" s="2" t="s">
        <v>122</v>
      </c>
      <c r="F66" s="2" t="s">
        <v>135</v>
      </c>
    </row>
    <row r="67" customFormat="false" ht="15" hidden="false" customHeight="false" outlineLevel="0" collapsed="false">
      <c r="A67" s="2" t="s">
        <v>136</v>
      </c>
      <c r="B67" s="2" t="s">
        <v>127</v>
      </c>
      <c r="C67" s="11" t="n">
        <v>3</v>
      </c>
      <c r="D67" s="2"/>
      <c r="E67" s="2" t="s">
        <v>117</v>
      </c>
      <c r="F67" s="2" t="s">
        <v>137</v>
      </c>
    </row>
    <row r="68" customFormat="false" ht="15" hidden="false" customHeight="false" outlineLevel="0" collapsed="false">
      <c r="A68" s="2" t="s">
        <v>138</v>
      </c>
      <c r="B68" s="2" t="s">
        <v>139</v>
      </c>
      <c r="C68" s="13" t="n">
        <v>1.6</v>
      </c>
      <c r="D68" s="2"/>
      <c r="E68" s="2" t="s">
        <v>140</v>
      </c>
      <c r="F68" s="2" t="s">
        <v>141</v>
      </c>
    </row>
    <row r="69" customFormat="false" ht="15" hidden="false" customHeight="false" outlineLevel="0" collapsed="false">
      <c r="A69" s="2" t="s">
        <v>142</v>
      </c>
      <c r="B69" s="2" t="s">
        <v>139</v>
      </c>
      <c r="C69" s="15" t="n">
        <v>1</v>
      </c>
      <c r="D69" s="2"/>
      <c r="E69" s="2" t="s">
        <v>122</v>
      </c>
      <c r="F69" s="2"/>
    </row>
    <row r="70" customFormat="false" ht="15" hidden="false" customHeight="false" outlineLevel="0" collapsed="false">
      <c r="A70" s="2" t="s">
        <v>143</v>
      </c>
      <c r="B70" s="2" t="s">
        <v>144</v>
      </c>
      <c r="C70" s="15" t="n">
        <v>3</v>
      </c>
      <c r="D70" s="2"/>
      <c r="E70" s="2" t="s">
        <v>117</v>
      </c>
      <c r="F70" s="2"/>
    </row>
    <row r="71" customFormat="false" ht="15" hidden="false" customHeight="false" outlineLevel="0" collapsed="false">
      <c r="A71" s="2" t="s">
        <v>145</v>
      </c>
      <c r="B71" s="2" t="s">
        <v>144</v>
      </c>
      <c r="C71" s="15" t="n">
        <v>3.5</v>
      </c>
      <c r="D71" s="2"/>
      <c r="E71" s="2" t="s">
        <v>146</v>
      </c>
      <c r="F71" s="2" t="s">
        <v>147</v>
      </c>
    </row>
    <row r="72" customFormat="false" ht="15" hidden="false" customHeight="false" outlineLevel="0" collapsed="false">
      <c r="A72" s="2" t="s">
        <v>148</v>
      </c>
      <c r="B72" s="2" t="s">
        <v>132</v>
      </c>
      <c r="C72" s="14" t="n">
        <v>0.333333333333333</v>
      </c>
      <c r="D72" s="2"/>
      <c r="E72" s="2" t="s">
        <v>117</v>
      </c>
      <c r="F72" s="2" t="s">
        <v>149</v>
      </c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</row>
    <row r="74" customFormat="false" ht="16.15" hidden="false" customHeight="false" outlineLevel="0" collapsed="false">
      <c r="A74" s="1" t="s">
        <v>150</v>
      </c>
      <c r="B74" s="2"/>
      <c r="C74" s="2"/>
      <c r="D74" s="2"/>
      <c r="E74" s="2"/>
      <c r="F74" s="2"/>
    </row>
    <row r="75" customFormat="false" ht="15" hidden="false" customHeight="false" outlineLevel="0" collapsed="false">
      <c r="A75" s="4" t="s">
        <v>3</v>
      </c>
      <c r="B75" s="4" t="s">
        <v>4</v>
      </c>
      <c r="C75" s="4" t="s">
        <v>151</v>
      </c>
      <c r="D75" s="4" t="s">
        <v>152</v>
      </c>
      <c r="E75" s="4" t="s">
        <v>153</v>
      </c>
      <c r="F75" s="4" t="s">
        <v>111</v>
      </c>
    </row>
    <row r="76" customFormat="false" ht="15" hidden="false" customHeight="false" outlineLevel="0" collapsed="false">
      <c r="A76" s="2" t="s">
        <v>154</v>
      </c>
      <c r="B76" s="2" t="s">
        <v>132</v>
      </c>
      <c r="C76" s="16" t="n">
        <v>0.375</v>
      </c>
      <c r="D76" s="16" t="n">
        <v>0.15</v>
      </c>
      <c r="E76" s="16" t="n">
        <v>0.15</v>
      </c>
      <c r="F76" s="2" t="s">
        <v>155</v>
      </c>
    </row>
    <row r="77" customFormat="false" ht="15" hidden="false" customHeight="false" outlineLevel="0" collapsed="false">
      <c r="A77" s="2" t="s">
        <v>156</v>
      </c>
      <c r="B77" s="2" t="s">
        <v>132</v>
      </c>
      <c r="C77" s="16" t="n">
        <v>0.05</v>
      </c>
      <c r="D77" s="16" t="n">
        <v>0.03</v>
      </c>
      <c r="E77" s="16" t="n">
        <v>0.03</v>
      </c>
      <c r="F77" s="2" t="s">
        <v>157</v>
      </c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</row>
    <row r="79" customFormat="false" ht="16.15" hidden="false" customHeight="false" outlineLevel="0" collapsed="false">
      <c r="A79" s="1" t="s">
        <v>158</v>
      </c>
      <c r="B79" s="2"/>
      <c r="C79" s="2"/>
      <c r="D79" s="2"/>
      <c r="E79" s="2"/>
      <c r="F79" s="2"/>
    </row>
    <row r="80" customFormat="false" ht="15" hidden="false" customHeight="false" outlineLevel="0" collapsed="false">
      <c r="A80" s="4" t="s">
        <v>3</v>
      </c>
      <c r="B80" s="4" t="s">
        <v>4</v>
      </c>
      <c r="C80" s="4" t="s">
        <v>151</v>
      </c>
      <c r="D80" s="4" t="s">
        <v>152</v>
      </c>
      <c r="E80" s="4" t="s">
        <v>153</v>
      </c>
      <c r="F80" s="4" t="s">
        <v>111</v>
      </c>
    </row>
    <row r="81" customFormat="false" ht="15" hidden="false" customHeight="false" outlineLevel="0" collapsed="false">
      <c r="A81" s="2" t="s">
        <v>159</v>
      </c>
      <c r="B81" s="2" t="s">
        <v>160</v>
      </c>
      <c r="C81" s="11" t="n">
        <v>1</v>
      </c>
      <c r="D81" s="11" t="n">
        <v>1</v>
      </c>
      <c r="E81" s="11" t="n">
        <v>50</v>
      </c>
      <c r="F81" s="2" t="s">
        <v>161</v>
      </c>
    </row>
    <row r="82" customFormat="false" ht="15" hidden="false" customHeight="false" outlineLevel="0" collapsed="false">
      <c r="A82" s="2" t="s">
        <v>162</v>
      </c>
      <c r="B82" s="2" t="s">
        <v>127</v>
      </c>
      <c r="C82" s="11" t="n">
        <v>300</v>
      </c>
      <c r="D82" s="11" t="n">
        <v>1500</v>
      </c>
      <c r="E82" s="11" t="n">
        <v>1500</v>
      </c>
      <c r="F82" s="2" t="s">
        <v>117</v>
      </c>
    </row>
    <row r="83" customFormat="false" ht="15" hidden="false" customHeight="false" outlineLevel="0" collapsed="false">
      <c r="A83" s="2" t="s">
        <v>163</v>
      </c>
      <c r="B83" s="2" t="s">
        <v>127</v>
      </c>
      <c r="C83" s="11" t="n">
        <v>600</v>
      </c>
      <c r="D83" s="11" t="n">
        <v>3000</v>
      </c>
      <c r="E83" s="11" t="n">
        <v>3000</v>
      </c>
      <c r="F83" s="2" t="s">
        <v>117</v>
      </c>
    </row>
    <row r="84" customFormat="false" ht="15" hidden="false" customHeight="false" outlineLevel="0" collapsed="false">
      <c r="A84" s="2" t="s">
        <v>164</v>
      </c>
      <c r="B84" s="2" t="s">
        <v>160</v>
      </c>
      <c r="C84" s="11" t="n">
        <v>200</v>
      </c>
      <c r="D84" s="11" t="n">
        <v>800</v>
      </c>
      <c r="E84" s="11" t="n">
        <v>800</v>
      </c>
      <c r="F84" s="2" t="s">
        <v>117</v>
      </c>
    </row>
    <row r="85" customFormat="false" ht="15" hidden="false" customHeight="false" outlineLevel="0" collapsed="false">
      <c r="A85" s="2" t="s">
        <v>165</v>
      </c>
      <c r="B85" s="2" t="s">
        <v>132</v>
      </c>
      <c r="C85" s="14" t="n">
        <v>0.6</v>
      </c>
      <c r="D85" s="14" t="n">
        <v>0.6</v>
      </c>
      <c r="E85" s="14" t="n">
        <v>0.6</v>
      </c>
      <c r="F85" s="2" t="s">
        <v>166</v>
      </c>
    </row>
    <row r="86" customFormat="false" ht="15" hidden="false" customHeight="false" outlineLevel="0" collapsed="false">
      <c r="A86" s="2" t="s">
        <v>167</v>
      </c>
      <c r="B86" s="2" t="s">
        <v>127</v>
      </c>
      <c r="C86" s="11" t="n">
        <v>80</v>
      </c>
      <c r="D86" s="11" t="n">
        <v>400</v>
      </c>
      <c r="E86" s="11" t="n">
        <v>400</v>
      </c>
      <c r="F86" s="2" t="s">
        <v>168</v>
      </c>
    </row>
    <row r="87" customFormat="false" ht="15" hidden="false" customHeight="false" outlineLevel="0" collapsed="false">
      <c r="A87" s="2" t="s">
        <v>169</v>
      </c>
      <c r="B87" s="2" t="s">
        <v>160</v>
      </c>
      <c r="C87" s="11" t="n">
        <v>100</v>
      </c>
      <c r="D87" s="11" t="n">
        <v>300</v>
      </c>
      <c r="E87" s="11" t="n">
        <v>300</v>
      </c>
      <c r="F87" s="2" t="s">
        <v>117</v>
      </c>
    </row>
    <row r="88" customFormat="false" ht="15" hidden="false" customHeight="false" outlineLevel="0" collapsed="false">
      <c r="A88" s="2" t="s">
        <v>170</v>
      </c>
      <c r="B88" s="2" t="s">
        <v>160</v>
      </c>
      <c r="C88" s="11" t="n">
        <v>150</v>
      </c>
      <c r="D88" s="11" t="n">
        <v>600</v>
      </c>
      <c r="E88" s="11" t="n">
        <v>600</v>
      </c>
      <c r="F88" s="2" t="s">
        <v>117</v>
      </c>
    </row>
    <row r="89" customFormat="false" ht="15" hidden="false" customHeight="false" outlineLevel="0" collapsed="false">
      <c r="A89" s="2" t="s">
        <v>171</v>
      </c>
      <c r="B89" s="2" t="s">
        <v>160</v>
      </c>
      <c r="C89" s="11" t="n">
        <v>300</v>
      </c>
      <c r="D89" s="11" t="n">
        <v>1500</v>
      </c>
      <c r="E89" s="11" t="n">
        <v>1500</v>
      </c>
      <c r="F89" s="2" t="s">
        <v>117</v>
      </c>
    </row>
    <row r="90" customFormat="false" ht="15" hidden="false" customHeight="false" outlineLevel="0" collapsed="false">
      <c r="A90" s="2" t="s">
        <v>172</v>
      </c>
      <c r="B90" s="2" t="s">
        <v>45</v>
      </c>
      <c r="C90" s="9" t="n">
        <v>22</v>
      </c>
      <c r="D90" s="9" t="n">
        <v>99</v>
      </c>
      <c r="E90" s="9" t="n">
        <v>990</v>
      </c>
      <c r="F90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20"/>
  </cols>
  <sheetData>
    <row r="1" customFormat="false" ht="16.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  <c r="B2" s="17" t="s">
        <v>176</v>
      </c>
    </row>
    <row r="3" customFormat="false" ht="15" hidden="false" customHeight="false" outlineLevel="0" collapsed="false">
      <c r="A3" s="2" t="s">
        <v>177</v>
      </c>
      <c r="B3" s="17" t="s">
        <v>178</v>
      </c>
    </row>
    <row r="5" customFormat="false" ht="15" hidden="false" customHeight="false" outlineLevel="0" collapsed="false">
      <c r="A5" s="18" t="s">
        <v>179</v>
      </c>
    </row>
    <row r="6" customFormat="false" ht="15" hidden="false" customHeight="false" outlineLevel="0" collapsed="false">
      <c r="A6" s="2" t="s">
        <v>159</v>
      </c>
      <c r="B6" s="19" t="n">
        <f aca="false">IF($B$2="A",Assumptions!$C$81,IF($B$2="B",Assumptions!$D$81,Assumptions!$E$81))</f>
        <v>1</v>
      </c>
    </row>
    <row r="7" customFormat="false" ht="15" hidden="false" customHeight="false" outlineLevel="0" collapsed="false">
      <c r="A7" s="2" t="s">
        <v>162</v>
      </c>
      <c r="B7" s="19" t="n">
        <f aca="false">IF($B$2="A",Assumptions!$C$82,IF($B$2="B",Assumptions!$D$82,Assumptions!$E$82))*$B$6</f>
        <v>300</v>
      </c>
    </row>
    <row r="8" customFormat="false" ht="15" hidden="false" customHeight="false" outlineLevel="0" collapsed="false">
      <c r="A8" s="2" t="s">
        <v>180</v>
      </c>
      <c r="B8" s="19" t="n">
        <f aca="false">IF($B$2="A",Assumptions!$C$83,IF($B$2="B",Assumptions!$D$83,Assumptions!$E$83))*$B$6</f>
        <v>600</v>
      </c>
    </row>
    <row r="9" customFormat="false" ht="15" hidden="false" customHeight="false" outlineLevel="0" collapsed="false">
      <c r="A9" s="2" t="s">
        <v>167</v>
      </c>
      <c r="B9" s="19" t="n">
        <f aca="false">IF($B$2="A",Assumptions!$C$86,IF($B$2="B",Assumptions!$D$86,Assumptions!$E$86))*$B$6</f>
        <v>80</v>
      </c>
    </row>
    <row r="10" customFormat="false" ht="15" hidden="false" customHeight="false" outlineLevel="0" collapsed="false">
      <c r="A10" s="2" t="s">
        <v>181</v>
      </c>
      <c r="B10" s="19" t="n">
        <f aca="false">B9*IF($B$3="CA",Assumptions!$C$40,Assumptions!$D$40)</f>
        <v>80</v>
      </c>
    </row>
    <row r="11" customFormat="false" ht="15" hidden="false" customHeight="false" outlineLevel="0" collapsed="false">
      <c r="A11" s="2" t="s">
        <v>182</v>
      </c>
      <c r="B11" s="20" t="n">
        <f aca="false">B9-B10</f>
        <v>0</v>
      </c>
    </row>
    <row r="12" customFormat="false" ht="15" hidden="false" customHeight="false" outlineLevel="0" collapsed="false">
      <c r="A12" s="2" t="s">
        <v>183</v>
      </c>
      <c r="B12" s="19" t="n">
        <f aca="false">(B8+B11)*Assumptions!$C$68</f>
        <v>960</v>
      </c>
    </row>
    <row r="13" customFormat="false" ht="15" hidden="false" customHeight="false" outlineLevel="0" collapsed="false">
      <c r="A13" s="2" t="s">
        <v>184</v>
      </c>
      <c r="B13" s="19" t="n">
        <f aca="false">B7*Assumptions!$C$69</f>
        <v>300</v>
      </c>
    </row>
    <row r="14" customFormat="false" ht="15" hidden="false" customHeight="false" outlineLevel="0" collapsed="false">
      <c r="A14" s="2" t="s">
        <v>164</v>
      </c>
      <c r="B14" s="19" t="n">
        <f aca="false">IF($B$2="A",Assumptions!$C$84,IF($B$2="B",Assumptions!$D$84,Assumptions!$E$84))*$B$6</f>
        <v>200</v>
      </c>
    </row>
    <row r="15" customFormat="false" ht="15" hidden="false" customHeight="false" outlineLevel="0" collapsed="false">
      <c r="A15" s="2" t="s">
        <v>185</v>
      </c>
      <c r="B15" s="19" t="n">
        <f aca="false">B14*IF($B$2="A",Assumptions!$C$85,IF($B$2="B",Assumptions!$D$85,Assumptions!$E$85))</f>
        <v>120</v>
      </c>
    </row>
    <row r="16" customFormat="false" ht="15" hidden="false" customHeight="false" outlineLevel="0" collapsed="false">
      <c r="A16" s="2" t="s">
        <v>186</v>
      </c>
      <c r="B16" s="20" t="n">
        <f aca="false">B14-B15</f>
        <v>80</v>
      </c>
    </row>
    <row r="17" customFormat="false" ht="15" hidden="false" customHeight="false" outlineLevel="0" collapsed="false">
      <c r="A17" s="2" t="s">
        <v>187</v>
      </c>
      <c r="B17" s="19" t="n">
        <f aca="false">B15*Assumptions!$C$67+B16*Assumptions!$C$66</f>
        <v>400</v>
      </c>
    </row>
    <row r="18" customFormat="false" ht="15" hidden="false" customHeight="false" outlineLevel="0" collapsed="false">
      <c r="A18" s="2" t="s">
        <v>188</v>
      </c>
      <c r="B18" s="19" t="n">
        <f aca="false">B15*Assumptions!$C$63+B16*Assumptions!$C$66</f>
        <v>400</v>
      </c>
    </row>
    <row r="19" customFormat="false" ht="15" hidden="false" customHeight="false" outlineLevel="0" collapsed="false">
      <c r="A19" s="2" t="s">
        <v>189</v>
      </c>
      <c r="B19" s="19" t="n">
        <f aca="false">MAX(0,B17-IF($B$3="CA",Assumptions!$C$39,Assumptions!$D$39)*B6)</f>
        <v>0</v>
      </c>
    </row>
    <row r="20" customFormat="false" ht="15" hidden="false" customHeight="false" outlineLevel="0" collapsed="false">
      <c r="A20" s="2" t="s">
        <v>190</v>
      </c>
      <c r="B20" s="19" t="n">
        <f aca="false">IF($B$2="A",Assumptions!$C$87,IF($B$2="B",Assumptions!$D$87,Assumptions!$E$87))*$B$6</f>
        <v>100</v>
      </c>
    </row>
    <row r="21" customFormat="false" ht="15" hidden="false" customHeight="false" outlineLevel="0" collapsed="false">
      <c r="A21" s="2" t="s">
        <v>191</v>
      </c>
      <c r="B21" s="19" t="n">
        <f aca="false">IF($B$2="A",Assumptions!$C$89,IF($B$2="B",Assumptions!$D$89,Assumptions!$E$89))*$B$6</f>
        <v>300</v>
      </c>
    </row>
    <row r="22" customFormat="false" ht="15" hidden="false" customHeight="false" outlineLevel="0" collapsed="false">
      <c r="A22" s="2" t="s">
        <v>192</v>
      </c>
      <c r="B22" s="19" t="n">
        <f aca="false">IF($B$2="A",Assumptions!$C$88,IF($B$2="B",Assumptions!$D$88,Assumptions!$E$88))*$B$6</f>
        <v>150</v>
      </c>
    </row>
    <row r="23" customFormat="false" ht="15" hidden="false" customHeight="false" outlineLevel="0" collapsed="false">
      <c r="A23" s="2" t="s">
        <v>193</v>
      </c>
      <c r="B23" s="19" t="n">
        <f aca="false">B22*Assumptions!$C$70</f>
        <v>450</v>
      </c>
    </row>
    <row r="24" customFormat="false" ht="15" hidden="false" customHeight="false" outlineLevel="0" collapsed="false">
      <c r="A24" s="2" t="s">
        <v>194</v>
      </c>
      <c r="B24" s="19" t="n">
        <f aca="false">B22*Assumptions!$C$71</f>
        <v>525</v>
      </c>
    </row>
    <row r="25" customFormat="false" ht="15" hidden="false" customHeight="false" outlineLevel="0" collapsed="false">
      <c r="A25" s="2" t="s">
        <v>195</v>
      </c>
      <c r="B25" s="19" t="n">
        <f aca="false">B7/Assumptions!$C$63+B15+B20+B21*Assumptions!$C$65</f>
        <v>350</v>
      </c>
    </row>
    <row r="26" customFormat="false" ht="15" hidden="false" customHeight="false" outlineLevel="0" collapsed="false">
      <c r="A26" s="2" t="s">
        <v>196</v>
      </c>
      <c r="B26" s="19" t="n">
        <f aca="false">B25*Assumptions!$C$63*Assumptions!$C$64+B16*Assumptions!$C$66*Assumptions!$C$64</f>
        <v>2180</v>
      </c>
    </row>
    <row r="27" customFormat="false" ht="15" hidden="false" customHeight="false" outlineLevel="0" collapsed="false">
      <c r="A27" s="2" t="s">
        <v>197</v>
      </c>
      <c r="B27" s="21" t="n">
        <f aca="false">(B25+B22)*Assumptions!$C$72</f>
        <v>166.666666666667</v>
      </c>
    </row>
    <row r="29" customFormat="false" ht="45" hidden="false" customHeight="true" outlineLevel="0" collapsed="false">
      <c r="A29" s="18" t="s">
        <v>198</v>
      </c>
      <c r="C29" s="22" t="s">
        <v>199</v>
      </c>
      <c r="D29" s="22" t="s">
        <v>200</v>
      </c>
      <c r="E29" s="22" t="s">
        <v>201</v>
      </c>
      <c r="F29" s="22" t="s">
        <v>202</v>
      </c>
      <c r="G29" s="22" t="s">
        <v>203</v>
      </c>
    </row>
    <row r="30" customFormat="false" ht="15" hidden="false" customHeight="false" outlineLevel="0" collapsed="false">
      <c r="A30" s="2" t="s">
        <v>204</v>
      </c>
      <c r="C30" s="23" t="s">
        <v>205</v>
      </c>
      <c r="D30" s="23" t="s">
        <v>206</v>
      </c>
      <c r="E30" s="23" t="s">
        <v>206</v>
      </c>
      <c r="F30" s="23" t="s">
        <v>206</v>
      </c>
      <c r="G30" s="23" t="s">
        <v>205</v>
      </c>
    </row>
    <row r="31" customFormat="false" ht="15" hidden="false" customHeight="false" outlineLevel="0" collapsed="false">
      <c r="A31" s="2" t="s">
        <v>207</v>
      </c>
      <c r="C31" s="23" t="s">
        <v>205</v>
      </c>
      <c r="D31" s="23" t="s">
        <v>208</v>
      </c>
      <c r="E31" s="23" t="s">
        <v>208</v>
      </c>
      <c r="F31" s="23" t="s">
        <v>208</v>
      </c>
      <c r="G31" s="23" t="s">
        <v>205</v>
      </c>
    </row>
    <row r="32" customFormat="false" ht="15" hidden="false" customHeight="false" outlineLevel="0" collapsed="false">
      <c r="A32" s="2" t="s">
        <v>209</v>
      </c>
      <c r="C32" s="23" t="s">
        <v>210</v>
      </c>
      <c r="D32" s="23" t="s">
        <v>211</v>
      </c>
      <c r="E32" s="23" t="s">
        <v>211</v>
      </c>
      <c r="F32" s="23" t="s">
        <v>211</v>
      </c>
      <c r="G32" s="23" t="s">
        <v>210</v>
      </c>
    </row>
    <row r="33" customFormat="false" ht="15" hidden="false" customHeight="false" outlineLevel="0" collapsed="false">
      <c r="A33" s="2" t="s">
        <v>212</v>
      </c>
      <c r="C33" s="23" t="s">
        <v>213</v>
      </c>
      <c r="D33" s="23" t="s">
        <v>214</v>
      </c>
      <c r="E33" s="23" t="s">
        <v>214</v>
      </c>
      <c r="F33" s="23" t="s">
        <v>214</v>
      </c>
      <c r="G33" s="23" t="s">
        <v>213</v>
      </c>
    </row>
    <row r="34" customFormat="false" ht="15" hidden="false" customHeight="false" outlineLevel="0" collapsed="false">
      <c r="A34" s="2" t="s">
        <v>215</v>
      </c>
      <c r="C34" s="23" t="s">
        <v>216</v>
      </c>
      <c r="D34" s="23" t="s">
        <v>216</v>
      </c>
      <c r="E34" s="23" t="s">
        <v>217</v>
      </c>
      <c r="F34" s="23" t="s">
        <v>218</v>
      </c>
      <c r="G34" s="23" t="s">
        <v>216</v>
      </c>
    </row>
    <row r="35" customFormat="false" ht="15" hidden="false" customHeight="false" outlineLevel="0" collapsed="false">
      <c r="A35" s="2" t="s">
        <v>219</v>
      </c>
      <c r="C35" s="23" t="s">
        <v>220</v>
      </c>
      <c r="D35" s="23" t="s">
        <v>221</v>
      </c>
      <c r="E35" s="23" t="s">
        <v>221</v>
      </c>
      <c r="F35" s="23" t="s">
        <v>221</v>
      </c>
      <c r="G35" s="23" t="s">
        <v>222</v>
      </c>
    </row>
    <row r="37" customFormat="false" ht="15" hidden="false" customHeight="false" outlineLevel="0" collapsed="false">
      <c r="A37" s="18" t="s">
        <v>223</v>
      </c>
    </row>
    <row r="38" customFormat="false" ht="15" hidden="false" customHeight="false" outlineLevel="0" collapsed="false">
      <c r="A38" s="2" t="s">
        <v>224</v>
      </c>
      <c r="C38" s="24" t="n">
        <f aca="false">IF(C34="opus",Assumptions!$C$6,IF(C34="sonnet",Assumptions!$C$11,Assumptions!$C$16))*Assumptions!$C$21</f>
        <v>4</v>
      </c>
      <c r="D38" s="24" t="n">
        <f aca="false">IF(D34="opus",Assumptions!$C$6,IF(D34="sonnet",Assumptions!$C$11,Assumptions!$C$16))*Assumptions!$C$21</f>
        <v>4</v>
      </c>
      <c r="E38" s="24" t="n">
        <f aca="false">IF(E34="opus",Assumptions!$C$6,IF(E34="sonnet",Assumptions!$C$11,Assumptions!$C$16))*Assumptions!$C$21</f>
        <v>2</v>
      </c>
      <c r="F38" s="24" t="n">
        <f aca="false">IF(F34="opus",Assumptions!$C$6,IF(F34="sonnet",Assumptions!$C$11,Assumptions!$C$16))*Assumptions!$C$21</f>
        <v>0.1</v>
      </c>
      <c r="G38" s="24" t="n">
        <f aca="false">IF(G34="opus",Assumptions!$C$6,IF(G34="sonnet",Assumptions!$C$11,Assumptions!$C$16))*Assumptions!$C$21</f>
        <v>4</v>
      </c>
    </row>
    <row r="39" customFormat="false" ht="15" hidden="false" customHeight="false" outlineLevel="0" collapsed="false">
      <c r="A39" s="2" t="s">
        <v>225</v>
      </c>
      <c r="C39" s="24" t="n">
        <f aca="false">IF(C34="opus",Assumptions!$C$7,IF(C34="sonnet",Assumptions!$C$12,Assumptions!$C$17))*Assumptions!$C$21</f>
        <v>20</v>
      </c>
      <c r="D39" s="24" t="n">
        <f aca="false">IF(D34="opus",Assumptions!$C$7,IF(D34="sonnet",Assumptions!$C$12,Assumptions!$C$17))*Assumptions!$C$21</f>
        <v>20</v>
      </c>
      <c r="E39" s="24" t="n">
        <f aca="false">IF(E34="opus",Assumptions!$C$7,IF(E34="sonnet",Assumptions!$C$12,Assumptions!$C$17))*Assumptions!$C$21</f>
        <v>10</v>
      </c>
      <c r="F39" s="24" t="n">
        <f aca="false">IF(F34="opus",Assumptions!$C$7,IF(F34="sonnet",Assumptions!$C$12,Assumptions!$C$17))*Assumptions!$C$21</f>
        <v>0.5</v>
      </c>
      <c r="G39" s="24" t="n">
        <f aca="false">IF(G34="opus",Assumptions!$C$7,IF(G34="sonnet",Assumptions!$C$12,Assumptions!$C$17))*Assumptions!$C$21</f>
        <v>20</v>
      </c>
    </row>
    <row r="40" customFormat="false" ht="15" hidden="false" customHeight="false" outlineLevel="0" collapsed="false">
      <c r="A40" s="2" t="s">
        <v>226</v>
      </c>
      <c r="C40" s="24" t="n">
        <f aca="false">IF(C34="opus",Assumptions!$C$8,IF(C34="sonnet",Assumptions!$C$13,Assumptions!$C$18))*Assumptions!$C$21</f>
        <v>0.2</v>
      </c>
      <c r="D40" s="24" t="n">
        <f aca="false">IF(D34="opus",Assumptions!$C$8,IF(D34="sonnet",Assumptions!$C$13,Assumptions!$C$18))*Assumptions!$C$21</f>
        <v>0.2</v>
      </c>
      <c r="E40" s="24" t="n">
        <f aca="false">IF(E34="opus",Assumptions!$C$8,IF(E34="sonnet",Assumptions!$C$13,Assumptions!$C$18))*Assumptions!$C$21</f>
        <v>0.1</v>
      </c>
      <c r="F40" s="24" t="n">
        <f aca="false">IF(F34="opus",Assumptions!$C$8,IF(F34="sonnet",Assumptions!$C$13,Assumptions!$C$18))*Assumptions!$C$21</f>
        <v>0.01</v>
      </c>
      <c r="G40" s="24" t="n">
        <f aca="false">IF(G34="opus",Assumptions!$C$8,IF(G34="sonnet",Assumptions!$C$13,Assumptions!$C$18))*Assumptions!$C$21</f>
        <v>0.2</v>
      </c>
    </row>
    <row r="41" customFormat="false" ht="15" hidden="false" customHeight="false" outlineLevel="0" collapsed="false">
      <c r="A41" s="2" t="s">
        <v>227</v>
      </c>
      <c r="C41" s="24" t="n">
        <f aca="false">IF(C35="5m",IF(C34="opus",Assumptions!$C$9,IF(C34="sonnet",Assumptions!$C$14,Assumptions!$C$19)),IF(C35="1h",IF(C34="opus",Assumptions!$C$10,IF(C34="sonnet",Assumptions!$C$15,Assumptions!$C$20)),0))*Assumptions!$C$21</f>
        <v>5</v>
      </c>
      <c r="D41" s="24" t="n">
        <f aca="false">IF(D35="5m",IF(D34="opus",Assumptions!$C$9,IF(D34="sonnet",Assumptions!$C$14,Assumptions!$C$19)),IF(D35="1h",IF(D34="opus",Assumptions!$C$10,IF(D34="sonnet",Assumptions!$C$15,Assumptions!$C$20)),0))*Assumptions!$C$21</f>
        <v>8</v>
      </c>
      <c r="E41" s="24" t="n">
        <f aca="false">IF(E35="5m",IF(E34="opus",Assumptions!$C$9,IF(E34="sonnet",Assumptions!$C$14,Assumptions!$C$19)),IF(E35="1h",IF(E34="opus",Assumptions!$C$10,IF(E34="sonnet",Assumptions!$C$15,Assumptions!$C$20)),0))*Assumptions!$C$21</f>
        <v>4</v>
      </c>
      <c r="F41" s="24" t="n">
        <f aca="false">IF(F35="5m",IF(F34="opus",Assumptions!$C$9,IF(F34="sonnet",Assumptions!$C$14,Assumptions!$C$19)),IF(F35="1h",IF(F34="opus",Assumptions!$C$10,IF(F34="sonnet",Assumptions!$C$15,Assumptions!$C$20)),0))*Assumptions!$C$21</f>
        <v>0.2</v>
      </c>
      <c r="G41" s="24" t="n">
        <f aca="false">IF(G35="5m",IF(G34="opus",Assumptions!$C$9,IF(G34="sonnet",Assumptions!$C$14,Assumptions!$C$19)),IF(G35="1h",IF(G34="opus",Assumptions!$C$10,IF(G34="sonnet",Assumptions!$C$15,Assumptions!$C$20)),0))*Assumptions!$C$21</f>
        <v>0</v>
      </c>
    </row>
    <row r="42" customFormat="false" ht="15" hidden="false" customHeight="false" outlineLevel="0" collapsed="false">
      <c r="A42" s="2" t="s">
        <v>228</v>
      </c>
      <c r="C42" s="25" t="n">
        <f aca="false">IF(C35="5m",IF($B$2="A",Assumptions!$C$76,IF($B$2="B",Assumptions!$D$76,Assumptions!$E$76)),IF(C35="1h",IF($B$2="A",Assumptions!$C$77,IF($B$2="B",Assumptions!$D$77,Assumptions!$E$77)),1))</f>
        <v>0.375</v>
      </c>
      <c r="D42" s="25" t="n">
        <f aca="false">IF(D35="5m",IF($B$2="A",Assumptions!$C$76,IF($B$2="B",Assumptions!$D$76,Assumptions!$E$76)),IF(D35="1h",IF($B$2="A",Assumptions!$C$77,IF($B$2="B",Assumptions!$D$77,Assumptions!$E$77)),1))</f>
        <v>0.05</v>
      </c>
      <c r="E42" s="25" t="n">
        <f aca="false">IF(E35="5m",IF($B$2="A",Assumptions!$C$76,IF($B$2="B",Assumptions!$D$76,Assumptions!$E$76)),IF(E35="1h",IF($B$2="A",Assumptions!$C$77,IF($B$2="B",Assumptions!$D$77,Assumptions!$E$77)),1))</f>
        <v>0.05</v>
      </c>
      <c r="F42" s="25" t="n">
        <f aca="false">IF(F35="5m",IF($B$2="A",Assumptions!$C$76,IF($B$2="B",Assumptions!$D$76,Assumptions!$E$76)),IF(F35="1h",IF($B$2="A",Assumptions!$C$77,IF($B$2="B",Assumptions!$D$77,Assumptions!$E$77)),1))</f>
        <v>0.05</v>
      </c>
      <c r="G42" s="25" t="n">
        <f aca="false">IF(G35="5m",IF($B$2="A",Assumptions!$C$76,IF($B$2="B",Assumptions!$D$76,Assumptions!$E$76)),IF(G35="1h",IF($B$2="A",Assumptions!$C$77,IF($B$2="B",Assumptions!$D$77,Assumptions!$E$77)),1))</f>
        <v>1</v>
      </c>
    </row>
    <row r="43" customFormat="false" ht="15" hidden="false" customHeight="false" outlineLevel="0" collapsed="false">
      <c r="A43" s="2" t="s">
        <v>229</v>
      </c>
      <c r="C43" s="24" t="n">
        <f aca="false">IF(C35="none",Assumptions!$C$58*C38,Assumptions!$C$58*(C42*C41+(1-C42)*C40))/1000000</f>
        <v>0.005792</v>
      </c>
      <c r="D43" s="24" t="n">
        <f aca="false">IF(D35="none",Assumptions!$C$58*D38,Assumptions!$C$58*(D42*D41+(1-D42)*D40))/1000000</f>
        <v>0.00170864</v>
      </c>
      <c r="E43" s="24" t="n">
        <f aca="false">IF(E35="none",Assumptions!$C$58*E38,Assumptions!$C$58*(E42*E41+(1-E42)*E40))/1000000</f>
        <v>0.00085432</v>
      </c>
      <c r="F43" s="24" t="n">
        <f aca="false">IF(F35="none",Assumptions!$C$58*F38,Assumptions!$C$58*(F42*F41+(1-F42)*F40))/1000000</f>
        <v>5.6472E-005</v>
      </c>
      <c r="G43" s="24" t="n">
        <f aca="false">IF(G35="none",Assumptions!$C$58*G38,Assumptions!$C$58*(G42*G41+(1-G42)*G40))/1000000</f>
        <v>0.011584</v>
      </c>
    </row>
    <row r="44" customFormat="false" ht="15" hidden="false" customHeight="false" outlineLevel="0" collapsed="false">
      <c r="A44" s="2" t="s">
        <v>230</v>
      </c>
      <c r="C44" s="24" t="n">
        <f aca="false">(Assumptions!$C$59+Assumptions!$C$60+Assumptions!$C$61)*C38/1000000</f>
        <v>0.00202</v>
      </c>
      <c r="D44" s="24" t="n">
        <f aca="false">(Assumptions!$C$59+Assumptions!$C$60+Assumptions!$C$61)*D38/1000000</f>
        <v>0.00202</v>
      </c>
      <c r="E44" s="24" t="n">
        <f aca="false">(Assumptions!$C$59+Assumptions!$C$60+Assumptions!$C$61)*E38/1000000</f>
        <v>0.00101</v>
      </c>
      <c r="F44" s="24" t="n">
        <f aca="false">(Assumptions!$C$59+Assumptions!$C$60+Assumptions!$C$61)*F38/1000000</f>
        <v>5.05E-005</v>
      </c>
      <c r="G44" s="24" t="n">
        <f aca="false">(Assumptions!$C$59+Assumptions!$C$60+Assumptions!$C$61)*G38/1000000</f>
        <v>0.00202</v>
      </c>
    </row>
    <row r="45" customFormat="false" ht="15" hidden="false" customHeight="false" outlineLevel="0" collapsed="false">
      <c r="A45" s="2" t="s">
        <v>231</v>
      </c>
      <c r="C45" s="24" t="n">
        <f aca="false">Assumptions!$C$62*C39/1000000</f>
        <v>0.0028</v>
      </c>
      <c r="D45" s="24" t="n">
        <f aca="false">Assumptions!$C$62*D39/1000000</f>
        <v>0.0028</v>
      </c>
      <c r="E45" s="24" t="n">
        <f aca="false">Assumptions!$C$62*E39/1000000</f>
        <v>0.0014</v>
      </c>
      <c r="F45" s="24" t="n">
        <f aca="false">Assumptions!$C$62*F39/1000000</f>
        <v>7E-005</v>
      </c>
      <c r="G45" s="24" t="n">
        <f aca="false">Assumptions!$C$62*G39/1000000</f>
        <v>0.0028</v>
      </c>
    </row>
    <row r="46" customFormat="false" ht="15" hidden="false" customHeight="false" outlineLevel="0" collapsed="false">
      <c r="A46" s="2" t="s">
        <v>232</v>
      </c>
      <c r="C46" s="24" t="n">
        <f aca="false">C43+C44+C45</f>
        <v>0.010612</v>
      </c>
      <c r="D46" s="24" t="n">
        <f aca="false">D43+D44+D45</f>
        <v>0.00652864</v>
      </c>
      <c r="E46" s="24" t="n">
        <f aca="false">E43+E44+E45</f>
        <v>0.00326432</v>
      </c>
      <c r="F46" s="24" t="n">
        <f aca="false">F43+F44+F45</f>
        <v>0.000176972</v>
      </c>
      <c r="G46" s="24" t="n">
        <f aca="false">G43+G44+G45</f>
        <v>0.016404</v>
      </c>
    </row>
    <row r="47" customFormat="false" ht="15" hidden="false" customHeight="false" outlineLevel="0" collapsed="false">
      <c r="A47" s="2" t="s">
        <v>233</v>
      </c>
      <c r="C47" s="24" t="n">
        <f aca="false">C46*Assumptions!$C$63*Assumptions!$C$64</f>
        <v>0.063672</v>
      </c>
      <c r="D47" s="24" t="n">
        <f aca="false">D46*Assumptions!$C$63*Assumptions!$C$64</f>
        <v>0.03917184</v>
      </c>
      <c r="E47" s="24" t="n">
        <f aca="false">E46*Assumptions!$C$63*Assumptions!$C$64</f>
        <v>0.01958592</v>
      </c>
      <c r="F47" s="24" t="n">
        <f aca="false">F46*Assumptions!$C$63*Assumptions!$C$64</f>
        <v>0.001061832</v>
      </c>
      <c r="G47" s="24" t="n">
        <f aca="false">G46*Assumptions!$C$63*Assumptions!$C$64</f>
        <v>0.098424</v>
      </c>
    </row>
    <row r="49" customFormat="false" ht="15" hidden="false" customHeight="false" outlineLevel="0" collapsed="false">
      <c r="A49" s="18" t="s">
        <v>234</v>
      </c>
    </row>
    <row r="50" customFormat="false" ht="15" hidden="false" customHeight="false" outlineLevel="0" collapsed="false">
      <c r="A50" s="2" t="s">
        <v>235</v>
      </c>
      <c r="C50" s="26" t="n">
        <f aca="false">IF(C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18.138</v>
      </c>
      <c r="D50" s="26" t="n">
        <f aca="false">IF(D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12.72</v>
      </c>
      <c r="E50" s="26" t="n">
        <f aca="false">IF(E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12.72</v>
      </c>
      <c r="F50" s="26" t="n">
        <f aca="false">IF(F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12.72</v>
      </c>
      <c r="G50" s="26" t="n">
        <f aca="false">IF(G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18.138</v>
      </c>
    </row>
    <row r="51" customFormat="false" ht="15" hidden="false" customHeight="false" outlineLevel="0" collapsed="false">
      <c r="A51" s="2" t="s">
        <v>236</v>
      </c>
      <c r="C51" s="26" t="n">
        <f aca="false">$B$6*((IF($B$3="CA",Assumptions!$C$30,Assumptions!$D$30)+IF($B$3="CA",Assumptions!$C$31,Assumptions!$D$31))/Assumptions!$C$34+IF(C$30="Twilio",IF($B$3="CA",Assumptions!$C$32,Assumptions!$D$32),IF($B$3="CA",Assumptions!$C$33,Assumptions!$D$33)))</f>
        <v>0</v>
      </c>
      <c r="D51" s="26" t="n">
        <f aca="false">$B$6*((IF($B$3="CA",Assumptions!$C$30,Assumptions!$D$30)+IF($B$3="CA",Assumptions!$C$31,Assumptions!$D$31))/Assumptions!$C$34+IF(D$30="Twilio",IF($B$3="CA",Assumptions!$C$32,Assumptions!$D$32),IF($B$3="CA",Assumptions!$C$33,Assumptions!$D$33)))</f>
        <v>0</v>
      </c>
      <c r="E51" s="26" t="n">
        <f aca="false">$B$6*((IF($B$3="CA",Assumptions!$C$30,Assumptions!$D$30)+IF($B$3="CA",Assumptions!$C$31,Assumptions!$D$31))/Assumptions!$C$34+IF(E$30="Twilio",IF($B$3="CA",Assumptions!$C$32,Assumptions!$D$32),IF($B$3="CA",Assumptions!$C$33,Assumptions!$D$33)))</f>
        <v>0</v>
      </c>
      <c r="F51" s="26" t="n">
        <f aca="false">$B$6*((IF($B$3="CA",Assumptions!$C$30,Assumptions!$D$30)+IF($B$3="CA",Assumptions!$C$31,Assumptions!$D$31))/Assumptions!$C$34+IF(F$30="Twilio",IF($B$3="CA",Assumptions!$C$32,Assumptions!$D$32),IF($B$3="CA",Assumptions!$C$33,Assumptions!$D$33)))</f>
        <v>0</v>
      </c>
      <c r="G51" s="26" t="n">
        <f aca="false">$B$6*((IF($B$3="CA",Assumptions!$C$30,Assumptions!$D$30)+IF($B$3="CA",Assumptions!$C$31,Assumptions!$D$31))/Assumptions!$C$34+IF(G$30="Twilio",IF($B$3="CA",Assumptions!$C$32,Assumptions!$D$32),IF($B$3="CA",Assumptions!$C$33,Assumptions!$D$33)))</f>
        <v>0</v>
      </c>
    </row>
    <row r="52" customFormat="false" ht="15" hidden="false" customHeight="false" outlineLevel="0" collapsed="false">
      <c r="A52" s="2" t="s">
        <v>237</v>
      </c>
      <c r="C52" s="26" t="n">
        <f aca="false">$B$6*IF(C$30="Twilio",IF($B$3="CA",Assumptions!$C$28,Assumptions!$D$28),IF($B$3="CA",Assumptions!$C$29,Assumptions!$D$29))</f>
        <v>1.15</v>
      </c>
      <c r="D52" s="26" t="n">
        <f aca="false">$B$6*IF(D$30="Twilio",IF($B$3="CA",Assumptions!$C$28,Assumptions!$D$28),IF($B$3="CA",Assumptions!$C$29,Assumptions!$D$29))</f>
        <v>1.1</v>
      </c>
      <c r="E52" s="26" t="n">
        <f aca="false">$B$6*IF(E$30="Twilio",IF($B$3="CA",Assumptions!$C$28,Assumptions!$D$28),IF($B$3="CA",Assumptions!$C$29,Assumptions!$D$29))</f>
        <v>1.1</v>
      </c>
      <c r="F52" s="26" t="n">
        <f aca="false">$B$6*IF(F$30="Twilio",IF($B$3="CA",Assumptions!$C$28,Assumptions!$D$28),IF($B$3="CA",Assumptions!$C$29,Assumptions!$D$29))</f>
        <v>1.1</v>
      </c>
      <c r="G52" s="26" t="n">
        <f aca="false">$B$6*IF(G$30="Twilio",IF($B$3="CA",Assumptions!$C$28,Assumptions!$D$28),IF($B$3="CA",Assumptions!$C$29,Assumptions!$D$29))</f>
        <v>1.15</v>
      </c>
    </row>
    <row r="53" customFormat="false" ht="15" hidden="false" customHeight="false" outlineLevel="0" collapsed="false">
      <c r="A53" s="2" t="s">
        <v>238</v>
      </c>
      <c r="C53" s="26" t="n">
        <f aca="false">$B$16*IF($B$3="CA",Assumptions!$C$35,Assumptions!$D$35)+$B$10*IF($B$3="CA",Assumptions!$C$37,Assumptions!$D$37)+$B$19*IF($B$3="CA",Assumptions!$C$38,Assumptions!$D$38)</f>
        <v>2.272</v>
      </c>
      <c r="D53" s="26" t="n">
        <f aca="false">$B$16*IF($B$3="CA",Assumptions!$C$35,Assumptions!$D$35)+$B$10*IF($B$3="CA",Assumptions!$C$37,Assumptions!$D$37)+$B$19*IF($B$3="CA",Assumptions!$C$38,Assumptions!$D$38)</f>
        <v>2.272</v>
      </c>
      <c r="E53" s="26" t="n">
        <f aca="false">$B$16*IF($B$3="CA",Assumptions!$C$35,Assumptions!$D$35)+$B$10*IF($B$3="CA",Assumptions!$C$37,Assumptions!$D$37)+$B$19*IF($B$3="CA",Assumptions!$C$38,Assumptions!$D$38)</f>
        <v>2.272</v>
      </c>
      <c r="F53" s="26" t="n">
        <f aca="false">$B$16*IF($B$3="CA",Assumptions!$C$35,Assumptions!$D$35)+$B$10*IF($B$3="CA",Assumptions!$C$37,Assumptions!$D$37)+$B$19*IF($B$3="CA",Assumptions!$C$38,Assumptions!$D$38)</f>
        <v>2.272</v>
      </c>
      <c r="G53" s="26" t="n">
        <f aca="false">$B$16*IF($B$3="CA",Assumptions!$C$35,Assumptions!$D$35)+$B$10*IF($B$3="CA",Assumptions!$C$37,Assumptions!$D$37)+$B$19*IF($B$3="CA",Assumptions!$C$38,Assumptions!$D$38)</f>
        <v>2.272</v>
      </c>
    </row>
    <row r="54" customFormat="false" ht="15" hidden="false" customHeight="false" outlineLevel="0" collapsed="false">
      <c r="A54" s="2" t="s">
        <v>239</v>
      </c>
      <c r="C54" s="26" t="n">
        <f aca="false">IF(C$31="Twilio",($B$16+$B$10+$B$17+$B$18)*IF($B$3="CA",Assumptions!$C$41,Assumptions!$D$41),0)</f>
        <v>4.8</v>
      </c>
      <c r="D54" s="26" t="n">
        <f aca="false">IF(D$31="Twilio",($B$16+$B$10+$B$17+$B$18)*IF($B$3="CA",Assumptions!$C$41,Assumptions!$D$41),0)</f>
        <v>0</v>
      </c>
      <c r="E54" s="26" t="n">
        <f aca="false">IF(E$31="Twilio",($B$16+$B$10+$B$17+$B$18)*IF($B$3="CA",Assumptions!$C$41,Assumptions!$D$41),0)</f>
        <v>0</v>
      </c>
      <c r="F54" s="26" t="n">
        <f aca="false">IF(F$31="Twilio",($B$16+$B$10+$B$17+$B$18)*IF($B$3="CA",Assumptions!$C$41,Assumptions!$D$41),0)</f>
        <v>0</v>
      </c>
      <c r="G54" s="26" t="n">
        <f aca="false">IF(G$31="Twilio",($B$16+$B$10+$B$17+$B$18)*IF($B$3="CA",Assumptions!$C$41,Assumptions!$D$41),0)</f>
        <v>4.8</v>
      </c>
    </row>
    <row r="55" customFormat="false" ht="15" hidden="false" customHeight="false" outlineLevel="0" collapsed="false">
      <c r="A55" s="2" t="s">
        <v>240</v>
      </c>
      <c r="C55" s="26" t="n">
        <f aca="false">$B$20*Assumptions!$C$63*2*IF($B$3="CA",Assumptions!$C$42,Assumptions!$D$42)</f>
        <v>0</v>
      </c>
      <c r="D55" s="26" t="n">
        <f aca="false">$B$20*Assumptions!$C$63*2*IF($B$3="CA",Assumptions!$C$42,Assumptions!$D$42)</f>
        <v>0</v>
      </c>
      <c r="E55" s="26" t="n">
        <f aca="false">$B$20*Assumptions!$C$63*2*IF($B$3="CA",Assumptions!$C$42,Assumptions!$D$42)</f>
        <v>0</v>
      </c>
      <c r="F55" s="26" t="n">
        <f aca="false">$B$20*Assumptions!$C$63*2*IF($B$3="CA",Assumptions!$C$42,Assumptions!$D$42)</f>
        <v>0</v>
      </c>
      <c r="G55" s="26" t="n">
        <f aca="false">$B$20*Assumptions!$C$63*2*IF($B$3="CA",Assumptions!$C$42,Assumptions!$D$42)</f>
        <v>0</v>
      </c>
    </row>
    <row r="56" customFormat="false" ht="15" hidden="false" customHeight="false" outlineLevel="0" collapsed="false">
      <c r="A56" s="2" t="s">
        <v>241</v>
      </c>
      <c r="C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D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E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F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G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</row>
    <row r="57" customFormat="false" ht="15" hidden="false" customHeight="false" outlineLevel="0" collapsed="false">
      <c r="A57" s="2" t="s">
        <v>242</v>
      </c>
      <c r="C57" s="26" t="n">
        <f aca="false">$B$23*IF($B$3="CA",Assumptions!$C$44,Assumptions!$D$44)</f>
        <v>4.5</v>
      </c>
      <c r="D57" s="26" t="n">
        <f aca="false">$B$23*IF($B$3="CA",Assumptions!$C$44,Assumptions!$D$44)</f>
        <v>4.5</v>
      </c>
      <c r="E57" s="26" t="n">
        <f aca="false">$B$23*IF($B$3="CA",Assumptions!$C$44,Assumptions!$D$44)</f>
        <v>4.5</v>
      </c>
      <c r="F57" s="26" t="n">
        <f aca="false">$B$23*IF($B$3="CA",Assumptions!$C$44,Assumptions!$D$44)</f>
        <v>4.5</v>
      </c>
      <c r="G57" s="26" t="n">
        <f aca="false">$B$23*IF($B$3="CA",Assumptions!$C$44,Assumptions!$D$44)</f>
        <v>4.5</v>
      </c>
    </row>
    <row r="58" customFormat="false" ht="15" hidden="false" customHeight="false" outlineLevel="0" collapsed="false">
      <c r="A58" s="2" t="s">
        <v>243</v>
      </c>
      <c r="C58" s="26" t="n">
        <f aca="false">$B$24*IF(C$32="TwilioNative",IF($B$3="CA",Assumptions!$C$45,Assumptions!$D$45),IF(C$32="TwilioSIP",IF($B$3="CA",Assumptions!$C$46,Assumptions!$D$46),IF($B$3="CA",Assumptions!$C$47,Assumptions!$D$47)))</f>
        <v>4.4625</v>
      </c>
      <c r="D58" s="26" t="n">
        <f aca="false">$B$24*IF(D$32="TwilioNative",IF($B$3="CA",Assumptions!$C$45,Assumptions!$D$45),IF(D$32="TwilioSIP",IF($B$3="CA",Assumptions!$C$46,Assumptions!$D$46),IF($B$3="CA",Assumptions!$C$47,Assumptions!$D$47)))</f>
        <v>1.68</v>
      </c>
      <c r="E58" s="26" t="n">
        <f aca="false">$B$24*IF(E$32="TwilioNative",IF($B$3="CA",Assumptions!$C$45,Assumptions!$D$45),IF(E$32="TwilioSIP",IF($B$3="CA",Assumptions!$C$46,Assumptions!$D$46),IF($B$3="CA",Assumptions!$C$47,Assumptions!$D$47)))</f>
        <v>1.68</v>
      </c>
      <c r="F58" s="26" t="n">
        <f aca="false">$B$24*IF(F$32="TwilioNative",IF($B$3="CA",Assumptions!$C$45,Assumptions!$D$45),IF(F$32="TwilioSIP",IF($B$3="CA",Assumptions!$C$46,Assumptions!$D$46),IF($B$3="CA",Assumptions!$C$47,Assumptions!$D$47)))</f>
        <v>1.68</v>
      </c>
      <c r="G58" s="26" t="n">
        <f aca="false">$B$24*IF(G$32="TwilioNative",IF($B$3="CA",Assumptions!$C$45,Assumptions!$D$45),IF(G$32="TwilioSIP",IF($B$3="CA",Assumptions!$C$46,Assumptions!$D$46),IF($B$3="CA",Assumptions!$C$47,Assumptions!$D$47)))</f>
        <v>4.4625</v>
      </c>
    </row>
    <row r="59" customFormat="false" ht="15" hidden="false" customHeight="false" outlineLevel="0" collapsed="false">
      <c r="A59" s="2" t="s">
        <v>244</v>
      </c>
      <c r="C59" s="26" t="n">
        <f aca="false">$B$26*C46</f>
        <v>23.13416</v>
      </c>
      <c r="D59" s="26" t="n">
        <f aca="false">$B$26*D46</f>
        <v>14.2324352</v>
      </c>
      <c r="E59" s="26" t="n">
        <f aca="false">$B$26*E46</f>
        <v>7.1162176</v>
      </c>
      <c r="F59" s="26" t="n">
        <f aca="false">$B$26*F46</f>
        <v>0.38579896</v>
      </c>
      <c r="G59" s="26" t="n">
        <f aca="false">$B$26*G46</f>
        <v>35.76072</v>
      </c>
    </row>
    <row r="60" customFormat="false" ht="15" hidden="false" customHeight="false" outlineLevel="0" collapsed="false">
      <c r="A60" s="2" t="s">
        <v>245</v>
      </c>
      <c r="C60" s="26" t="n">
        <f aca="false">IF($B$2="C",IF(C$33="SendGrid",IF($B$3="CA",Assumptions!$C$54,Assumptions!$D$54),IF($B$3="CA",Assumptions!$C$53,Assumptions!$D$53)),IF(OR(C$33="SendGrid"),IF($B$3="CA",Assumptions!$C$49,Assumptions!$D$49),IF(OR(C$33="Postmark",AND(C$33="Best",$B$3="CA")),IF($B$3="CA",Assumptions!$C$50,Assumptions!$D$50),IF($B$21&lt;=IF($B$3="CA",Assumptions!$C$52,Assumptions!$D$52),0,IF($B$3="CA",Assumptions!$C$51,Assumptions!$D$51)))))</f>
        <v>19.95</v>
      </c>
      <c r="D60" s="26" t="n">
        <f aca="false">IF($B$2="C",IF(D$33="SendGrid",IF($B$3="CA",Assumptions!$C$54,Assumptions!$D$54),IF($B$3="CA",Assumptions!$C$53,Assumptions!$D$53)),IF(OR(D$33="SendGrid"),IF($B$3="CA",Assumptions!$C$49,Assumptions!$D$49),IF(OR(D$33="Postmark",AND(D$33="Best",$B$3="CA")),IF($B$3="CA",Assumptions!$C$50,Assumptions!$D$50),IF($B$21&lt;=IF($B$3="CA",Assumptions!$C$52,Assumptions!$D$52),0,IF($B$3="CA",Assumptions!$C$51,Assumptions!$D$51)))))</f>
        <v>15</v>
      </c>
      <c r="E60" s="26" t="n">
        <f aca="false">IF($B$2="C",IF(E$33="SendGrid",IF($B$3="CA",Assumptions!$C$54,Assumptions!$D$54),IF($B$3="CA",Assumptions!$C$53,Assumptions!$D$53)),IF(OR(E$33="SendGrid"),IF($B$3="CA",Assumptions!$C$49,Assumptions!$D$49),IF(OR(E$33="Postmark",AND(E$33="Best",$B$3="CA")),IF($B$3="CA",Assumptions!$C$50,Assumptions!$D$50),IF($B$21&lt;=IF($B$3="CA",Assumptions!$C$52,Assumptions!$D$52),0,IF($B$3="CA",Assumptions!$C$51,Assumptions!$D$51)))))</f>
        <v>15</v>
      </c>
      <c r="F60" s="26" t="n">
        <f aca="false">IF($B$2="C",IF(F$33="SendGrid",IF($B$3="CA",Assumptions!$C$54,Assumptions!$D$54),IF($B$3="CA",Assumptions!$C$53,Assumptions!$D$53)),IF(OR(F$33="SendGrid"),IF($B$3="CA",Assumptions!$C$49,Assumptions!$D$49),IF(OR(F$33="Postmark",AND(F$33="Best",$B$3="CA")),IF($B$3="CA",Assumptions!$C$50,Assumptions!$D$50),IF($B$21&lt;=IF($B$3="CA",Assumptions!$C$52,Assumptions!$D$52),0,IF($B$3="CA",Assumptions!$C$51,Assumptions!$D$51)))))</f>
        <v>15</v>
      </c>
      <c r="G60" s="26" t="n">
        <f aca="false">IF($B$2="C",IF(G$33="SendGrid",IF($B$3="CA",Assumptions!$C$54,Assumptions!$D$54),IF($B$3="CA",Assumptions!$C$53,Assumptions!$D$53)),IF(OR(G$33="SendGrid"),IF($B$3="CA",Assumptions!$C$49,Assumptions!$D$49),IF(OR(G$33="Postmark",AND(G$33="Best",$B$3="CA")),IF($B$3="CA",Assumptions!$C$50,Assumptions!$D$50),IF($B$21&lt;=IF($B$3="CA",Assumptions!$C$52,Assumptions!$D$52),0,IF($B$3="CA",Assumptions!$C$51,Assumptions!$D$51)))))</f>
        <v>19.95</v>
      </c>
    </row>
    <row r="61" customFormat="false" ht="15" hidden="false" customHeight="false" outlineLevel="0" collapsed="false">
      <c r="A61" s="18" t="s">
        <v>246</v>
      </c>
      <c r="C61" s="27" t="n">
        <f aca="false">SUM(C50:C60)</f>
        <v>114.40666</v>
      </c>
      <c r="D61" s="27" t="n">
        <f aca="false">SUM(D50:D60)</f>
        <v>87.5044352</v>
      </c>
      <c r="E61" s="27" t="n">
        <f aca="false">SUM(E50:E60)</f>
        <v>80.3882176</v>
      </c>
      <c r="F61" s="27" t="n">
        <f aca="false">SUM(F50:F60)</f>
        <v>73.65779896</v>
      </c>
      <c r="G61" s="27" t="n">
        <f aca="false">SUM(G50:G60)</f>
        <v>127.03322</v>
      </c>
    </row>
    <row r="62" customFormat="false" ht="15" hidden="false" customHeight="false" outlineLevel="0" collapsed="false">
      <c r="A62" s="2" t="s">
        <v>247</v>
      </c>
      <c r="C62" s="26" t="n">
        <f aca="false">C61/$B$6</f>
        <v>114.40666</v>
      </c>
      <c r="D62" s="26" t="n">
        <f aca="false">D61/$B$6</f>
        <v>87.5044352</v>
      </c>
      <c r="E62" s="26" t="n">
        <f aca="false">E61/$B$6</f>
        <v>80.3882176</v>
      </c>
      <c r="F62" s="26" t="n">
        <f aca="false">F61/$B$6</f>
        <v>73.65779896</v>
      </c>
      <c r="G62" s="26" t="n">
        <f aca="false">G61/$B$6</f>
        <v>127.03322</v>
      </c>
    </row>
    <row r="63" customFormat="false" ht="15" hidden="false" customHeight="false" outlineLevel="0" collapsed="false">
      <c r="A63" s="2" t="s">
        <v>248</v>
      </c>
      <c r="C63" s="26" t="n">
        <f aca="false">IF($B$27=0,0,C61/$B$27)</f>
        <v>0.68643996</v>
      </c>
      <c r="D63" s="26" t="n">
        <f aca="false">IF($B$27=0,0,D61/$B$27)</f>
        <v>0.5250266112</v>
      </c>
      <c r="E63" s="26" t="n">
        <f aca="false">IF($B$27=0,0,E61/$B$27)</f>
        <v>0.4823293056</v>
      </c>
      <c r="F63" s="26" t="n">
        <f aca="false">IF($B$27=0,0,F61/$B$27)</f>
        <v>0.44194679376</v>
      </c>
      <c r="G63" s="26" t="n">
        <f aca="false">IF($B$27=0,0,G61/$B$27)</f>
        <v>0.76219932</v>
      </c>
    </row>
    <row r="64" customFormat="false" ht="15" hidden="false" customHeight="false" outlineLevel="0" collapsed="false">
      <c r="A64" s="2" t="s">
        <v>249</v>
      </c>
      <c r="C64" s="25" t="n">
        <f aca="false">IF(C61=0,0,SUM(C56:C58)/C61)</f>
        <v>0.393005966610685</v>
      </c>
      <c r="D64" s="25" t="n">
        <f aca="false">IF(D61=0,0,SUM(D56:D58)/D61)</f>
        <v>0.482032709583159</v>
      </c>
      <c r="E64" s="25" t="n">
        <f aca="false">IF(E61=0,0,SUM(E56:E58)/E61)</f>
        <v>0.52470375957185</v>
      </c>
      <c r="F64" s="25" t="n">
        <f aca="false">IF(F61=0,0,SUM(F56:F58)/F61)</f>
        <v>0.572648118672483</v>
      </c>
      <c r="G64" s="25" t="n">
        <f aca="false">IF(G61=0,0,SUM(G56:G58)/G61)</f>
        <v>0.35394285053941</v>
      </c>
    </row>
    <row r="65" customFormat="false" ht="15" hidden="false" customHeight="false" outlineLevel="0" collapsed="false">
      <c r="A65" s="2" t="s">
        <v>250</v>
      </c>
      <c r="C65" s="25" t="n">
        <f aca="false">IF(C61=0,0,C59/C61)</f>
        <v>0.202209906311398</v>
      </c>
      <c r="D65" s="25" t="n">
        <f aca="false">IF(D61=0,0,D59/D61)</f>
        <v>0.162648157975883</v>
      </c>
      <c r="E65" s="25" t="n">
        <f aca="false">IF(E61=0,0,E59/E61)</f>
        <v>0.0885231419784583</v>
      </c>
      <c r="F65" s="25" t="n">
        <f aca="false">IF(F61=0,0,F59/F61)</f>
        <v>0.00523772045115696</v>
      </c>
      <c r="G65" s="25" t="n">
        <f aca="false">IF(G61=0,0,G59/G61)</f>
        <v>0.281506837345381</v>
      </c>
    </row>
    <row r="67" customFormat="false" ht="15" hidden="false" customHeight="false" outlineLevel="0" collapsed="false">
      <c r="A67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20"/>
  </cols>
  <sheetData>
    <row r="1" customFormat="false" ht="16.1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175</v>
      </c>
      <c r="B2" s="17" t="s">
        <v>176</v>
      </c>
    </row>
    <row r="3" customFormat="false" ht="15" hidden="false" customHeight="false" outlineLevel="0" collapsed="false">
      <c r="A3" s="2" t="s">
        <v>177</v>
      </c>
      <c r="B3" s="17" t="s">
        <v>6</v>
      </c>
    </row>
    <row r="5" customFormat="false" ht="15" hidden="false" customHeight="false" outlineLevel="0" collapsed="false">
      <c r="A5" s="18" t="s">
        <v>179</v>
      </c>
    </row>
    <row r="6" customFormat="false" ht="15" hidden="false" customHeight="false" outlineLevel="0" collapsed="false">
      <c r="A6" s="2" t="s">
        <v>159</v>
      </c>
      <c r="B6" s="19" t="n">
        <f aca="false">IF($B$2="A",Assumptions!$C$81,IF($B$2="B",Assumptions!$D$81,Assumptions!$E$81))</f>
        <v>1</v>
      </c>
    </row>
    <row r="7" customFormat="false" ht="15" hidden="false" customHeight="false" outlineLevel="0" collapsed="false">
      <c r="A7" s="2" t="s">
        <v>162</v>
      </c>
      <c r="B7" s="19" t="n">
        <f aca="false">IF($B$2="A",Assumptions!$C$82,IF($B$2="B",Assumptions!$D$82,Assumptions!$E$82))*$B$6</f>
        <v>300</v>
      </c>
    </row>
    <row r="8" customFormat="false" ht="15" hidden="false" customHeight="false" outlineLevel="0" collapsed="false">
      <c r="A8" s="2" t="s">
        <v>180</v>
      </c>
      <c r="B8" s="19" t="n">
        <f aca="false">IF($B$2="A",Assumptions!$C$83,IF($B$2="B",Assumptions!$D$83,Assumptions!$E$83))*$B$6</f>
        <v>600</v>
      </c>
    </row>
    <row r="9" customFormat="false" ht="15" hidden="false" customHeight="false" outlineLevel="0" collapsed="false">
      <c r="A9" s="2" t="s">
        <v>167</v>
      </c>
      <c r="B9" s="19" t="n">
        <f aca="false">IF($B$2="A",Assumptions!$C$86,IF($B$2="B",Assumptions!$D$86,Assumptions!$E$86))*$B$6</f>
        <v>80</v>
      </c>
    </row>
    <row r="10" customFormat="false" ht="15" hidden="false" customHeight="false" outlineLevel="0" collapsed="false">
      <c r="A10" s="2" t="s">
        <v>181</v>
      </c>
      <c r="B10" s="19" t="n">
        <f aca="false">B9*IF($B$3="CA",Assumptions!$C$40,Assumptions!$D$40)</f>
        <v>0</v>
      </c>
    </row>
    <row r="11" customFormat="false" ht="15" hidden="false" customHeight="false" outlineLevel="0" collapsed="false">
      <c r="A11" s="2" t="s">
        <v>182</v>
      </c>
      <c r="B11" s="20" t="n">
        <f aca="false">B9-B10</f>
        <v>80</v>
      </c>
    </row>
    <row r="12" customFormat="false" ht="15" hidden="false" customHeight="false" outlineLevel="0" collapsed="false">
      <c r="A12" s="2" t="s">
        <v>183</v>
      </c>
      <c r="B12" s="19" t="n">
        <f aca="false">(B8+B11)*Assumptions!$C$68</f>
        <v>1088</v>
      </c>
    </row>
    <row r="13" customFormat="false" ht="15" hidden="false" customHeight="false" outlineLevel="0" collapsed="false">
      <c r="A13" s="2" t="s">
        <v>184</v>
      </c>
      <c r="B13" s="19" t="n">
        <f aca="false">B7*Assumptions!$C$69</f>
        <v>300</v>
      </c>
    </row>
    <row r="14" customFormat="false" ht="15" hidden="false" customHeight="false" outlineLevel="0" collapsed="false">
      <c r="A14" s="2" t="s">
        <v>164</v>
      </c>
      <c r="B14" s="19" t="n">
        <f aca="false">IF($B$2="A",Assumptions!$C$84,IF($B$2="B",Assumptions!$D$84,Assumptions!$E$84))*$B$6</f>
        <v>200</v>
      </c>
    </row>
    <row r="15" customFormat="false" ht="15" hidden="false" customHeight="false" outlineLevel="0" collapsed="false">
      <c r="A15" s="2" t="s">
        <v>185</v>
      </c>
      <c r="B15" s="19" t="n">
        <f aca="false">B14*IF($B$2="A",Assumptions!$C$85,IF($B$2="B",Assumptions!$D$85,Assumptions!$E$85))</f>
        <v>120</v>
      </c>
    </row>
    <row r="16" customFormat="false" ht="15" hidden="false" customHeight="false" outlineLevel="0" collapsed="false">
      <c r="A16" s="2" t="s">
        <v>186</v>
      </c>
      <c r="B16" s="20" t="n">
        <f aca="false">B14-B15</f>
        <v>80</v>
      </c>
    </row>
    <row r="17" customFormat="false" ht="15" hidden="false" customHeight="false" outlineLevel="0" collapsed="false">
      <c r="A17" s="2" t="s">
        <v>187</v>
      </c>
      <c r="B17" s="19" t="n">
        <f aca="false">B15*Assumptions!$C$67+B16*Assumptions!$C$66</f>
        <v>400</v>
      </c>
    </row>
    <row r="18" customFormat="false" ht="15" hidden="false" customHeight="false" outlineLevel="0" collapsed="false">
      <c r="A18" s="2" t="s">
        <v>188</v>
      </c>
      <c r="B18" s="19" t="n">
        <f aca="false">B15*Assumptions!$C$63+B16*Assumptions!$C$66</f>
        <v>400</v>
      </c>
    </row>
    <row r="19" customFormat="false" ht="15" hidden="false" customHeight="false" outlineLevel="0" collapsed="false">
      <c r="A19" s="2" t="s">
        <v>189</v>
      </c>
      <c r="B19" s="19" t="n">
        <f aca="false">MAX(0,B17-IF($B$3="CA",Assumptions!$C$39,Assumptions!$D$39)*B6)</f>
        <v>0</v>
      </c>
    </row>
    <row r="20" customFormat="false" ht="15" hidden="false" customHeight="false" outlineLevel="0" collapsed="false">
      <c r="A20" s="2" t="s">
        <v>190</v>
      </c>
      <c r="B20" s="19" t="n">
        <f aca="false">IF($B$2="A",Assumptions!$C$87,IF($B$2="B",Assumptions!$D$87,Assumptions!$E$87))*$B$6</f>
        <v>100</v>
      </c>
    </row>
    <row r="21" customFormat="false" ht="15" hidden="false" customHeight="false" outlineLevel="0" collapsed="false">
      <c r="A21" s="2" t="s">
        <v>191</v>
      </c>
      <c r="B21" s="19" t="n">
        <f aca="false">IF($B$2="A",Assumptions!$C$89,IF($B$2="B",Assumptions!$D$89,Assumptions!$E$89))*$B$6</f>
        <v>300</v>
      </c>
    </row>
    <row r="22" customFormat="false" ht="15" hidden="false" customHeight="false" outlineLevel="0" collapsed="false">
      <c r="A22" s="2" t="s">
        <v>192</v>
      </c>
      <c r="B22" s="19" t="n">
        <f aca="false">IF($B$2="A",Assumptions!$C$88,IF($B$2="B",Assumptions!$D$88,Assumptions!$E$88))*$B$6</f>
        <v>150</v>
      </c>
    </row>
    <row r="23" customFormat="false" ht="15" hidden="false" customHeight="false" outlineLevel="0" collapsed="false">
      <c r="A23" s="2" t="s">
        <v>193</v>
      </c>
      <c r="B23" s="19" t="n">
        <f aca="false">B22*Assumptions!$C$70</f>
        <v>450</v>
      </c>
    </row>
    <row r="24" customFormat="false" ht="15" hidden="false" customHeight="false" outlineLevel="0" collapsed="false">
      <c r="A24" s="2" t="s">
        <v>194</v>
      </c>
      <c r="B24" s="19" t="n">
        <f aca="false">B22*Assumptions!$C$71</f>
        <v>525</v>
      </c>
    </row>
    <row r="25" customFormat="false" ht="15" hidden="false" customHeight="false" outlineLevel="0" collapsed="false">
      <c r="A25" s="2" t="s">
        <v>195</v>
      </c>
      <c r="B25" s="19" t="n">
        <f aca="false">B7/Assumptions!$C$63+B15+B20+B21*Assumptions!$C$65</f>
        <v>350</v>
      </c>
    </row>
    <row r="26" customFormat="false" ht="15" hidden="false" customHeight="false" outlineLevel="0" collapsed="false">
      <c r="A26" s="2" t="s">
        <v>196</v>
      </c>
      <c r="B26" s="19" t="n">
        <f aca="false">B25*Assumptions!$C$63*Assumptions!$C$64+B16*Assumptions!$C$66*Assumptions!$C$64</f>
        <v>2180</v>
      </c>
    </row>
    <row r="27" customFormat="false" ht="15" hidden="false" customHeight="false" outlineLevel="0" collapsed="false">
      <c r="A27" s="2" t="s">
        <v>197</v>
      </c>
      <c r="B27" s="21" t="n">
        <f aca="false">(B25+B22)*Assumptions!$C$72</f>
        <v>166.666666666667</v>
      </c>
    </row>
    <row r="29" customFormat="false" ht="45" hidden="false" customHeight="true" outlineLevel="0" collapsed="false">
      <c r="A29" s="18" t="s">
        <v>198</v>
      </c>
      <c r="C29" s="22" t="s">
        <v>199</v>
      </c>
      <c r="D29" s="22" t="s">
        <v>200</v>
      </c>
      <c r="E29" s="22" t="s">
        <v>201</v>
      </c>
      <c r="F29" s="22" t="s">
        <v>202</v>
      </c>
      <c r="G29" s="22" t="s">
        <v>203</v>
      </c>
    </row>
    <row r="30" customFormat="false" ht="15" hidden="false" customHeight="false" outlineLevel="0" collapsed="false">
      <c r="A30" s="2" t="s">
        <v>204</v>
      </c>
      <c r="C30" s="23" t="s">
        <v>205</v>
      </c>
      <c r="D30" s="23" t="s">
        <v>206</v>
      </c>
      <c r="E30" s="23" t="s">
        <v>206</v>
      </c>
      <c r="F30" s="23" t="s">
        <v>206</v>
      </c>
      <c r="G30" s="23" t="s">
        <v>205</v>
      </c>
    </row>
    <row r="31" customFormat="false" ht="15" hidden="false" customHeight="false" outlineLevel="0" collapsed="false">
      <c r="A31" s="2" t="s">
        <v>207</v>
      </c>
      <c r="C31" s="23" t="s">
        <v>205</v>
      </c>
      <c r="D31" s="23" t="s">
        <v>208</v>
      </c>
      <c r="E31" s="23" t="s">
        <v>208</v>
      </c>
      <c r="F31" s="23" t="s">
        <v>208</v>
      </c>
      <c r="G31" s="23" t="s">
        <v>205</v>
      </c>
    </row>
    <row r="32" customFormat="false" ht="15" hidden="false" customHeight="false" outlineLevel="0" collapsed="false">
      <c r="A32" s="2" t="s">
        <v>209</v>
      </c>
      <c r="C32" s="23" t="s">
        <v>210</v>
      </c>
      <c r="D32" s="23" t="s">
        <v>211</v>
      </c>
      <c r="E32" s="23" t="s">
        <v>211</v>
      </c>
      <c r="F32" s="23" t="s">
        <v>211</v>
      </c>
      <c r="G32" s="23" t="s">
        <v>210</v>
      </c>
    </row>
    <row r="33" customFormat="false" ht="15" hidden="false" customHeight="false" outlineLevel="0" collapsed="false">
      <c r="A33" s="2" t="s">
        <v>212</v>
      </c>
      <c r="C33" s="23" t="s">
        <v>213</v>
      </c>
      <c r="D33" s="23" t="s">
        <v>214</v>
      </c>
      <c r="E33" s="23" t="s">
        <v>214</v>
      </c>
      <c r="F33" s="23" t="s">
        <v>214</v>
      </c>
      <c r="G33" s="23" t="s">
        <v>213</v>
      </c>
    </row>
    <row r="34" customFormat="false" ht="15" hidden="false" customHeight="false" outlineLevel="0" collapsed="false">
      <c r="A34" s="2" t="s">
        <v>215</v>
      </c>
      <c r="C34" s="23" t="s">
        <v>216</v>
      </c>
      <c r="D34" s="23" t="s">
        <v>216</v>
      </c>
      <c r="E34" s="23" t="s">
        <v>217</v>
      </c>
      <c r="F34" s="23" t="s">
        <v>218</v>
      </c>
      <c r="G34" s="23" t="s">
        <v>216</v>
      </c>
    </row>
    <row r="35" customFormat="false" ht="15" hidden="false" customHeight="false" outlineLevel="0" collapsed="false">
      <c r="A35" s="2" t="s">
        <v>219</v>
      </c>
      <c r="C35" s="23" t="s">
        <v>220</v>
      </c>
      <c r="D35" s="23" t="s">
        <v>221</v>
      </c>
      <c r="E35" s="23" t="s">
        <v>221</v>
      </c>
      <c r="F35" s="23" t="s">
        <v>221</v>
      </c>
      <c r="G35" s="23" t="s">
        <v>222</v>
      </c>
    </row>
    <row r="37" customFormat="false" ht="15" hidden="false" customHeight="false" outlineLevel="0" collapsed="false">
      <c r="A37" s="18" t="s">
        <v>223</v>
      </c>
    </row>
    <row r="38" customFormat="false" ht="15" hidden="false" customHeight="false" outlineLevel="0" collapsed="false">
      <c r="A38" s="2" t="s">
        <v>224</v>
      </c>
      <c r="C38" s="24" t="n">
        <f aca="false">IF(C34="opus",Assumptions!$C$6,IF(C34="sonnet",Assumptions!$C$11,Assumptions!$C$16))*Assumptions!$C$21</f>
        <v>4</v>
      </c>
      <c r="D38" s="24" t="n">
        <f aca="false">IF(D34="opus",Assumptions!$C$6,IF(D34="sonnet",Assumptions!$C$11,Assumptions!$C$16))*Assumptions!$C$21</f>
        <v>4</v>
      </c>
      <c r="E38" s="24" t="n">
        <f aca="false">IF(E34="opus",Assumptions!$C$6,IF(E34="sonnet",Assumptions!$C$11,Assumptions!$C$16))*Assumptions!$C$21</f>
        <v>2</v>
      </c>
      <c r="F38" s="24" t="n">
        <f aca="false">IF(F34="opus",Assumptions!$C$6,IF(F34="sonnet",Assumptions!$C$11,Assumptions!$C$16))*Assumptions!$C$21</f>
        <v>0.1</v>
      </c>
      <c r="G38" s="24" t="n">
        <f aca="false">IF(G34="opus",Assumptions!$C$6,IF(G34="sonnet",Assumptions!$C$11,Assumptions!$C$16))*Assumptions!$C$21</f>
        <v>4</v>
      </c>
    </row>
    <row r="39" customFormat="false" ht="15" hidden="false" customHeight="false" outlineLevel="0" collapsed="false">
      <c r="A39" s="2" t="s">
        <v>225</v>
      </c>
      <c r="C39" s="24" t="n">
        <f aca="false">IF(C34="opus",Assumptions!$C$7,IF(C34="sonnet",Assumptions!$C$12,Assumptions!$C$17))*Assumptions!$C$21</f>
        <v>20</v>
      </c>
      <c r="D39" s="24" t="n">
        <f aca="false">IF(D34="opus",Assumptions!$C$7,IF(D34="sonnet",Assumptions!$C$12,Assumptions!$C$17))*Assumptions!$C$21</f>
        <v>20</v>
      </c>
      <c r="E39" s="24" t="n">
        <f aca="false">IF(E34="opus",Assumptions!$C$7,IF(E34="sonnet",Assumptions!$C$12,Assumptions!$C$17))*Assumptions!$C$21</f>
        <v>10</v>
      </c>
      <c r="F39" s="24" t="n">
        <f aca="false">IF(F34="opus",Assumptions!$C$7,IF(F34="sonnet",Assumptions!$C$12,Assumptions!$C$17))*Assumptions!$C$21</f>
        <v>0.5</v>
      </c>
      <c r="G39" s="24" t="n">
        <f aca="false">IF(G34="opus",Assumptions!$C$7,IF(G34="sonnet",Assumptions!$C$12,Assumptions!$C$17))*Assumptions!$C$21</f>
        <v>20</v>
      </c>
    </row>
    <row r="40" customFormat="false" ht="15" hidden="false" customHeight="false" outlineLevel="0" collapsed="false">
      <c r="A40" s="2" t="s">
        <v>226</v>
      </c>
      <c r="C40" s="24" t="n">
        <f aca="false">IF(C34="opus",Assumptions!$C$8,IF(C34="sonnet",Assumptions!$C$13,Assumptions!$C$18))*Assumptions!$C$21</f>
        <v>0.2</v>
      </c>
      <c r="D40" s="24" t="n">
        <f aca="false">IF(D34="opus",Assumptions!$C$8,IF(D34="sonnet",Assumptions!$C$13,Assumptions!$C$18))*Assumptions!$C$21</f>
        <v>0.2</v>
      </c>
      <c r="E40" s="24" t="n">
        <f aca="false">IF(E34="opus",Assumptions!$C$8,IF(E34="sonnet",Assumptions!$C$13,Assumptions!$C$18))*Assumptions!$C$21</f>
        <v>0.1</v>
      </c>
      <c r="F40" s="24" t="n">
        <f aca="false">IF(F34="opus",Assumptions!$C$8,IF(F34="sonnet",Assumptions!$C$13,Assumptions!$C$18))*Assumptions!$C$21</f>
        <v>0.01</v>
      </c>
      <c r="G40" s="24" t="n">
        <f aca="false">IF(G34="opus",Assumptions!$C$8,IF(G34="sonnet",Assumptions!$C$13,Assumptions!$C$18))*Assumptions!$C$21</f>
        <v>0.2</v>
      </c>
    </row>
    <row r="41" customFormat="false" ht="15" hidden="false" customHeight="false" outlineLevel="0" collapsed="false">
      <c r="A41" s="2" t="s">
        <v>227</v>
      </c>
      <c r="C41" s="24" t="n">
        <f aca="false">IF(C35="5m",IF(C34="opus",Assumptions!$C$9,IF(C34="sonnet",Assumptions!$C$14,Assumptions!$C$19)),IF(C35="1h",IF(C34="opus",Assumptions!$C$10,IF(C34="sonnet",Assumptions!$C$15,Assumptions!$C$20)),0))*Assumptions!$C$21</f>
        <v>5</v>
      </c>
      <c r="D41" s="24" t="n">
        <f aca="false">IF(D35="5m",IF(D34="opus",Assumptions!$C$9,IF(D34="sonnet",Assumptions!$C$14,Assumptions!$C$19)),IF(D35="1h",IF(D34="opus",Assumptions!$C$10,IF(D34="sonnet",Assumptions!$C$15,Assumptions!$C$20)),0))*Assumptions!$C$21</f>
        <v>8</v>
      </c>
      <c r="E41" s="24" t="n">
        <f aca="false">IF(E35="5m",IF(E34="opus",Assumptions!$C$9,IF(E34="sonnet",Assumptions!$C$14,Assumptions!$C$19)),IF(E35="1h",IF(E34="opus",Assumptions!$C$10,IF(E34="sonnet",Assumptions!$C$15,Assumptions!$C$20)),0))*Assumptions!$C$21</f>
        <v>4</v>
      </c>
      <c r="F41" s="24" t="n">
        <f aca="false">IF(F35="5m",IF(F34="opus",Assumptions!$C$9,IF(F34="sonnet",Assumptions!$C$14,Assumptions!$C$19)),IF(F35="1h",IF(F34="opus",Assumptions!$C$10,IF(F34="sonnet",Assumptions!$C$15,Assumptions!$C$20)),0))*Assumptions!$C$21</f>
        <v>0.2</v>
      </c>
      <c r="G41" s="24" t="n">
        <f aca="false">IF(G35="5m",IF(G34="opus",Assumptions!$C$9,IF(G34="sonnet",Assumptions!$C$14,Assumptions!$C$19)),IF(G35="1h",IF(G34="opus",Assumptions!$C$10,IF(G34="sonnet",Assumptions!$C$15,Assumptions!$C$20)),0))*Assumptions!$C$21</f>
        <v>0</v>
      </c>
    </row>
    <row r="42" customFormat="false" ht="15" hidden="false" customHeight="false" outlineLevel="0" collapsed="false">
      <c r="A42" s="2" t="s">
        <v>228</v>
      </c>
      <c r="C42" s="25" t="n">
        <f aca="false">IF(C35="5m",IF($B$2="A",Assumptions!$C$76,IF($B$2="B",Assumptions!$D$76,Assumptions!$E$76)),IF(C35="1h",IF($B$2="A",Assumptions!$C$77,IF($B$2="B",Assumptions!$D$77,Assumptions!$E$77)),1))</f>
        <v>0.375</v>
      </c>
      <c r="D42" s="25" t="n">
        <f aca="false">IF(D35="5m",IF($B$2="A",Assumptions!$C$76,IF($B$2="B",Assumptions!$D$76,Assumptions!$E$76)),IF(D35="1h",IF($B$2="A",Assumptions!$C$77,IF($B$2="B",Assumptions!$D$77,Assumptions!$E$77)),1))</f>
        <v>0.05</v>
      </c>
      <c r="E42" s="25" t="n">
        <f aca="false">IF(E35="5m",IF($B$2="A",Assumptions!$C$76,IF($B$2="B",Assumptions!$D$76,Assumptions!$E$76)),IF(E35="1h",IF($B$2="A",Assumptions!$C$77,IF($B$2="B",Assumptions!$D$77,Assumptions!$E$77)),1))</f>
        <v>0.05</v>
      </c>
      <c r="F42" s="25" t="n">
        <f aca="false">IF(F35="5m",IF($B$2="A",Assumptions!$C$76,IF($B$2="B",Assumptions!$D$76,Assumptions!$E$76)),IF(F35="1h",IF($B$2="A",Assumptions!$C$77,IF($B$2="B",Assumptions!$D$77,Assumptions!$E$77)),1))</f>
        <v>0.05</v>
      </c>
      <c r="G42" s="25" t="n">
        <f aca="false">IF(G35="5m",IF($B$2="A",Assumptions!$C$76,IF($B$2="B",Assumptions!$D$76,Assumptions!$E$76)),IF(G35="1h",IF($B$2="A",Assumptions!$C$77,IF($B$2="B",Assumptions!$D$77,Assumptions!$E$77)),1))</f>
        <v>1</v>
      </c>
    </row>
    <row r="43" customFormat="false" ht="15" hidden="false" customHeight="false" outlineLevel="0" collapsed="false">
      <c r="A43" s="2" t="s">
        <v>229</v>
      </c>
      <c r="C43" s="24" t="n">
        <f aca="false">IF(C35="none",Assumptions!$C$58*C38,Assumptions!$C$58*(C42*C41+(1-C42)*C40))/1000000</f>
        <v>0.005792</v>
      </c>
      <c r="D43" s="24" t="n">
        <f aca="false">IF(D35="none",Assumptions!$C$58*D38,Assumptions!$C$58*(D42*D41+(1-D42)*D40))/1000000</f>
        <v>0.00170864</v>
      </c>
      <c r="E43" s="24" t="n">
        <f aca="false">IF(E35="none",Assumptions!$C$58*E38,Assumptions!$C$58*(E42*E41+(1-E42)*E40))/1000000</f>
        <v>0.00085432</v>
      </c>
      <c r="F43" s="24" t="n">
        <f aca="false">IF(F35="none",Assumptions!$C$58*F38,Assumptions!$C$58*(F42*F41+(1-F42)*F40))/1000000</f>
        <v>5.6472E-005</v>
      </c>
      <c r="G43" s="24" t="n">
        <f aca="false">IF(G35="none",Assumptions!$C$58*G38,Assumptions!$C$58*(G42*G41+(1-G42)*G40))/1000000</f>
        <v>0.011584</v>
      </c>
    </row>
    <row r="44" customFormat="false" ht="15" hidden="false" customHeight="false" outlineLevel="0" collapsed="false">
      <c r="A44" s="2" t="s">
        <v>230</v>
      </c>
      <c r="C44" s="24" t="n">
        <f aca="false">(Assumptions!$C$59+Assumptions!$C$60+Assumptions!$C$61)*C38/1000000</f>
        <v>0.00202</v>
      </c>
      <c r="D44" s="24" t="n">
        <f aca="false">(Assumptions!$C$59+Assumptions!$C$60+Assumptions!$C$61)*D38/1000000</f>
        <v>0.00202</v>
      </c>
      <c r="E44" s="24" t="n">
        <f aca="false">(Assumptions!$C$59+Assumptions!$C$60+Assumptions!$C$61)*E38/1000000</f>
        <v>0.00101</v>
      </c>
      <c r="F44" s="24" t="n">
        <f aca="false">(Assumptions!$C$59+Assumptions!$C$60+Assumptions!$C$61)*F38/1000000</f>
        <v>5.05E-005</v>
      </c>
      <c r="G44" s="24" t="n">
        <f aca="false">(Assumptions!$C$59+Assumptions!$C$60+Assumptions!$C$61)*G38/1000000</f>
        <v>0.00202</v>
      </c>
    </row>
    <row r="45" customFormat="false" ht="15" hidden="false" customHeight="false" outlineLevel="0" collapsed="false">
      <c r="A45" s="2" t="s">
        <v>231</v>
      </c>
      <c r="C45" s="24" t="n">
        <f aca="false">Assumptions!$C$62*C39/1000000</f>
        <v>0.0028</v>
      </c>
      <c r="D45" s="24" t="n">
        <f aca="false">Assumptions!$C$62*D39/1000000</f>
        <v>0.0028</v>
      </c>
      <c r="E45" s="24" t="n">
        <f aca="false">Assumptions!$C$62*E39/1000000</f>
        <v>0.0014</v>
      </c>
      <c r="F45" s="24" t="n">
        <f aca="false">Assumptions!$C$62*F39/1000000</f>
        <v>7E-005</v>
      </c>
      <c r="G45" s="24" t="n">
        <f aca="false">Assumptions!$C$62*G39/1000000</f>
        <v>0.0028</v>
      </c>
    </row>
    <row r="46" customFormat="false" ht="15" hidden="false" customHeight="false" outlineLevel="0" collapsed="false">
      <c r="A46" s="2" t="s">
        <v>232</v>
      </c>
      <c r="C46" s="24" t="n">
        <f aca="false">C43+C44+C45</f>
        <v>0.010612</v>
      </c>
      <c r="D46" s="24" t="n">
        <f aca="false">D43+D44+D45</f>
        <v>0.00652864</v>
      </c>
      <c r="E46" s="24" t="n">
        <f aca="false">E43+E44+E45</f>
        <v>0.00326432</v>
      </c>
      <c r="F46" s="24" t="n">
        <f aca="false">F43+F44+F45</f>
        <v>0.000176972</v>
      </c>
      <c r="G46" s="24" t="n">
        <f aca="false">G43+G44+G45</f>
        <v>0.016404</v>
      </c>
    </row>
    <row r="47" customFormat="false" ht="15" hidden="false" customHeight="false" outlineLevel="0" collapsed="false">
      <c r="A47" s="2" t="s">
        <v>233</v>
      </c>
      <c r="C47" s="24" t="n">
        <f aca="false">C46*Assumptions!$C$63*Assumptions!$C$64</f>
        <v>0.063672</v>
      </c>
      <c r="D47" s="24" t="n">
        <f aca="false">D46*Assumptions!$C$63*Assumptions!$C$64</f>
        <v>0.03917184</v>
      </c>
      <c r="E47" s="24" t="n">
        <f aca="false">E46*Assumptions!$C$63*Assumptions!$C$64</f>
        <v>0.01958592</v>
      </c>
      <c r="F47" s="24" t="n">
        <f aca="false">F46*Assumptions!$C$63*Assumptions!$C$64</f>
        <v>0.001061832</v>
      </c>
      <c r="G47" s="24" t="n">
        <f aca="false">G46*Assumptions!$C$63*Assumptions!$C$64</f>
        <v>0.098424</v>
      </c>
    </row>
    <row r="49" customFormat="false" ht="15" hidden="false" customHeight="false" outlineLevel="0" collapsed="false">
      <c r="A49" s="18" t="s">
        <v>234</v>
      </c>
    </row>
    <row r="50" customFormat="false" ht="15" hidden="false" customHeight="false" outlineLevel="0" collapsed="false">
      <c r="A50" s="2" t="s">
        <v>235</v>
      </c>
      <c r="C50" s="26" t="n">
        <f aca="false">IF(C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16.8476</v>
      </c>
      <c r="D50" s="26" t="n">
        <f aca="false">IF(D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10.8792</v>
      </c>
      <c r="E50" s="26" t="n">
        <f aca="false">IF(E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10.8792</v>
      </c>
      <c r="F50" s="26" t="n">
        <f aca="false">IF(F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10.8792</v>
      </c>
      <c r="G50" s="26" t="n">
        <f aca="false">IF(G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16.8476</v>
      </c>
    </row>
    <row r="51" customFormat="false" ht="15" hidden="false" customHeight="false" outlineLevel="0" collapsed="false">
      <c r="A51" s="2" t="s">
        <v>236</v>
      </c>
      <c r="C51" s="26" t="n">
        <f aca="false">$B$6*((IF($B$3="CA",Assumptions!$C$30,Assumptions!$D$30)+IF($B$3="CA",Assumptions!$C$31,Assumptions!$D$31))/Assumptions!$C$34+IF(C$30="Twilio",IF($B$3="CA",Assumptions!$C$32,Assumptions!$D$32),IF($B$3="CA",Assumptions!$C$33,Assumptions!$D$33)))</f>
        <v>3.125</v>
      </c>
      <c r="D51" s="26" t="n">
        <f aca="false">$B$6*((IF($B$3="CA",Assumptions!$C$30,Assumptions!$D$30)+IF($B$3="CA",Assumptions!$C$31,Assumptions!$D$31))/Assumptions!$C$34+IF(D$30="Twilio",IF($B$3="CA",Assumptions!$C$32,Assumptions!$D$32),IF($B$3="CA",Assumptions!$C$33,Assumptions!$D$33)))</f>
        <v>3.625</v>
      </c>
      <c r="E51" s="26" t="n">
        <f aca="false">$B$6*((IF($B$3="CA",Assumptions!$C$30,Assumptions!$D$30)+IF($B$3="CA",Assumptions!$C$31,Assumptions!$D$31))/Assumptions!$C$34+IF(E$30="Twilio",IF($B$3="CA",Assumptions!$C$32,Assumptions!$D$32),IF($B$3="CA",Assumptions!$C$33,Assumptions!$D$33)))</f>
        <v>3.625</v>
      </c>
      <c r="F51" s="26" t="n">
        <f aca="false">$B$6*((IF($B$3="CA",Assumptions!$C$30,Assumptions!$D$30)+IF($B$3="CA",Assumptions!$C$31,Assumptions!$D$31))/Assumptions!$C$34+IF(F$30="Twilio",IF($B$3="CA",Assumptions!$C$32,Assumptions!$D$32),IF($B$3="CA",Assumptions!$C$33,Assumptions!$D$33)))</f>
        <v>3.625</v>
      </c>
      <c r="G51" s="26" t="n">
        <f aca="false">$B$6*((IF($B$3="CA",Assumptions!$C$30,Assumptions!$D$30)+IF($B$3="CA",Assumptions!$C$31,Assumptions!$D$31))/Assumptions!$C$34+IF(G$30="Twilio",IF($B$3="CA",Assumptions!$C$32,Assumptions!$D$32),IF($B$3="CA",Assumptions!$C$33,Assumptions!$D$33)))</f>
        <v>3.125</v>
      </c>
    </row>
    <row r="52" customFormat="false" ht="15" hidden="false" customHeight="false" outlineLevel="0" collapsed="false">
      <c r="A52" s="2" t="s">
        <v>237</v>
      </c>
      <c r="C52" s="26" t="n">
        <f aca="false">$B$6*IF(C$30="Twilio",IF($B$3="CA",Assumptions!$C$28,Assumptions!$D$28),IF($B$3="CA",Assumptions!$C$29,Assumptions!$D$29))</f>
        <v>1.15</v>
      </c>
      <c r="D52" s="26" t="n">
        <f aca="false">$B$6*IF(D$30="Twilio",IF($B$3="CA",Assumptions!$C$28,Assumptions!$D$28),IF($B$3="CA",Assumptions!$C$29,Assumptions!$D$29))</f>
        <v>1.1</v>
      </c>
      <c r="E52" s="26" t="n">
        <f aca="false">$B$6*IF(E$30="Twilio",IF($B$3="CA",Assumptions!$C$28,Assumptions!$D$28),IF($B$3="CA",Assumptions!$C$29,Assumptions!$D$29))</f>
        <v>1.1</v>
      </c>
      <c r="F52" s="26" t="n">
        <f aca="false">$B$6*IF(F$30="Twilio",IF($B$3="CA",Assumptions!$C$28,Assumptions!$D$28),IF($B$3="CA",Assumptions!$C$29,Assumptions!$D$29))</f>
        <v>1.1</v>
      </c>
      <c r="G52" s="26" t="n">
        <f aca="false">$B$6*IF(G$30="Twilio",IF($B$3="CA",Assumptions!$C$28,Assumptions!$D$28),IF($B$3="CA",Assumptions!$C$29,Assumptions!$D$29))</f>
        <v>1.15</v>
      </c>
    </row>
    <row r="53" customFormat="false" ht="15" hidden="false" customHeight="false" outlineLevel="0" collapsed="false">
      <c r="A53" s="2" t="s">
        <v>238</v>
      </c>
      <c r="C53" s="26" t="n">
        <f aca="false">$B$16*IF($B$3="CA",Assumptions!$C$35,Assumptions!$D$35)+$B$10*IF($B$3="CA",Assumptions!$C$37,Assumptions!$D$37)+$B$19*IF($B$3="CA",Assumptions!$C$38,Assumptions!$D$38)</f>
        <v>0.272</v>
      </c>
      <c r="D53" s="26" t="n">
        <f aca="false">$B$16*IF($B$3="CA",Assumptions!$C$35,Assumptions!$D$35)+$B$10*IF($B$3="CA",Assumptions!$C$37,Assumptions!$D$37)+$B$19*IF($B$3="CA",Assumptions!$C$38,Assumptions!$D$38)</f>
        <v>0.272</v>
      </c>
      <c r="E53" s="26" t="n">
        <f aca="false">$B$16*IF($B$3="CA",Assumptions!$C$35,Assumptions!$D$35)+$B$10*IF($B$3="CA",Assumptions!$C$37,Assumptions!$D$37)+$B$19*IF($B$3="CA",Assumptions!$C$38,Assumptions!$D$38)</f>
        <v>0.272</v>
      </c>
      <c r="F53" s="26" t="n">
        <f aca="false">$B$16*IF($B$3="CA",Assumptions!$C$35,Assumptions!$D$35)+$B$10*IF($B$3="CA",Assumptions!$C$37,Assumptions!$D$37)+$B$19*IF($B$3="CA",Assumptions!$C$38,Assumptions!$D$38)</f>
        <v>0.272</v>
      </c>
      <c r="G53" s="26" t="n">
        <f aca="false">$B$16*IF($B$3="CA",Assumptions!$C$35,Assumptions!$D$35)+$B$10*IF($B$3="CA",Assumptions!$C$37,Assumptions!$D$37)+$B$19*IF($B$3="CA",Assumptions!$C$38,Assumptions!$D$38)</f>
        <v>0.272</v>
      </c>
    </row>
    <row r="54" customFormat="false" ht="15" hidden="false" customHeight="false" outlineLevel="0" collapsed="false">
      <c r="A54" s="2" t="s">
        <v>239</v>
      </c>
      <c r="C54" s="26" t="n">
        <f aca="false">IF(C$31="Twilio",($B$16+$B$10+$B$17+$B$18)*IF($B$3="CA",Assumptions!$C$41,Assumptions!$D$41),0)</f>
        <v>4.4</v>
      </c>
      <c r="D54" s="26" t="n">
        <f aca="false">IF(D$31="Twilio",($B$16+$B$10+$B$17+$B$18)*IF($B$3="CA",Assumptions!$C$41,Assumptions!$D$41),0)</f>
        <v>0</v>
      </c>
      <c r="E54" s="26" t="n">
        <f aca="false">IF(E$31="Twilio",($B$16+$B$10+$B$17+$B$18)*IF($B$3="CA",Assumptions!$C$41,Assumptions!$D$41),0)</f>
        <v>0</v>
      </c>
      <c r="F54" s="26" t="n">
        <f aca="false">IF(F$31="Twilio",($B$16+$B$10+$B$17+$B$18)*IF($B$3="CA",Assumptions!$C$41,Assumptions!$D$41),0)</f>
        <v>0</v>
      </c>
      <c r="G54" s="26" t="n">
        <f aca="false">IF(G$31="Twilio",($B$16+$B$10+$B$17+$B$18)*IF($B$3="CA",Assumptions!$C$41,Assumptions!$D$41),0)</f>
        <v>4.4</v>
      </c>
    </row>
    <row r="55" customFormat="false" ht="15" hidden="false" customHeight="false" outlineLevel="0" collapsed="false">
      <c r="A55" s="2" t="s">
        <v>240</v>
      </c>
      <c r="C55" s="26" t="n">
        <f aca="false">$B$20*Assumptions!$C$63*2*IF($B$3="CA",Assumptions!$C$42,Assumptions!$D$42)</f>
        <v>0</v>
      </c>
      <c r="D55" s="26" t="n">
        <f aca="false">$B$20*Assumptions!$C$63*2*IF($B$3="CA",Assumptions!$C$42,Assumptions!$D$42)</f>
        <v>0</v>
      </c>
      <c r="E55" s="26" t="n">
        <f aca="false">$B$20*Assumptions!$C$63*2*IF($B$3="CA",Assumptions!$C$42,Assumptions!$D$42)</f>
        <v>0</v>
      </c>
      <c r="F55" s="26" t="n">
        <f aca="false">$B$20*Assumptions!$C$63*2*IF($B$3="CA",Assumptions!$C$42,Assumptions!$D$42)</f>
        <v>0</v>
      </c>
      <c r="G55" s="26" t="n">
        <f aca="false">$B$20*Assumptions!$C$63*2*IF($B$3="CA",Assumptions!$C$42,Assumptions!$D$42)</f>
        <v>0</v>
      </c>
    </row>
    <row r="56" customFormat="false" ht="15" hidden="false" customHeight="false" outlineLevel="0" collapsed="false">
      <c r="A56" s="2" t="s">
        <v>241</v>
      </c>
      <c r="C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D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E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F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  <c r="G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36</v>
      </c>
    </row>
    <row r="57" customFormat="false" ht="15" hidden="false" customHeight="false" outlineLevel="0" collapsed="false">
      <c r="A57" s="2" t="s">
        <v>242</v>
      </c>
      <c r="C57" s="26" t="n">
        <f aca="false">$B$23*IF($B$3="CA",Assumptions!$C$44,Assumptions!$D$44)</f>
        <v>4.5</v>
      </c>
      <c r="D57" s="26" t="n">
        <f aca="false">$B$23*IF($B$3="CA",Assumptions!$C$44,Assumptions!$D$44)</f>
        <v>4.5</v>
      </c>
      <c r="E57" s="26" t="n">
        <f aca="false">$B$23*IF($B$3="CA",Assumptions!$C$44,Assumptions!$D$44)</f>
        <v>4.5</v>
      </c>
      <c r="F57" s="26" t="n">
        <f aca="false">$B$23*IF($B$3="CA",Assumptions!$C$44,Assumptions!$D$44)</f>
        <v>4.5</v>
      </c>
      <c r="G57" s="26" t="n">
        <f aca="false">$B$23*IF($B$3="CA",Assumptions!$C$44,Assumptions!$D$44)</f>
        <v>4.5</v>
      </c>
    </row>
    <row r="58" customFormat="false" ht="15" hidden="false" customHeight="false" outlineLevel="0" collapsed="false">
      <c r="A58" s="2" t="s">
        <v>243</v>
      </c>
      <c r="C58" s="26" t="n">
        <f aca="false">$B$24*IF(C$32="TwilioNative",IF($B$3="CA",Assumptions!$C$45,Assumptions!$D$45),IF(C$32="TwilioSIP",IF($B$3="CA",Assumptions!$C$46,Assumptions!$D$46),IF($B$3="CA",Assumptions!$C$47,Assumptions!$D$47)))</f>
        <v>4.4625</v>
      </c>
      <c r="D58" s="26" t="n">
        <f aca="false">$B$24*IF(D$32="TwilioNative",IF($B$3="CA",Assumptions!$C$45,Assumptions!$D$45),IF(D$32="TwilioSIP",IF($B$3="CA",Assumptions!$C$46,Assumptions!$D$46),IF($B$3="CA",Assumptions!$C$47,Assumptions!$D$47)))</f>
        <v>1.68</v>
      </c>
      <c r="E58" s="26" t="n">
        <f aca="false">$B$24*IF(E$32="TwilioNative",IF($B$3="CA",Assumptions!$C$45,Assumptions!$D$45),IF(E$32="TwilioSIP",IF($B$3="CA",Assumptions!$C$46,Assumptions!$D$46),IF($B$3="CA",Assumptions!$C$47,Assumptions!$D$47)))</f>
        <v>1.68</v>
      </c>
      <c r="F58" s="26" t="n">
        <f aca="false">$B$24*IF(F$32="TwilioNative",IF($B$3="CA",Assumptions!$C$45,Assumptions!$D$45),IF(F$32="TwilioSIP",IF($B$3="CA",Assumptions!$C$46,Assumptions!$D$46),IF($B$3="CA",Assumptions!$C$47,Assumptions!$D$47)))</f>
        <v>1.68</v>
      </c>
      <c r="G58" s="26" t="n">
        <f aca="false">$B$24*IF(G$32="TwilioNative",IF($B$3="CA",Assumptions!$C$45,Assumptions!$D$45),IF(G$32="TwilioSIP",IF($B$3="CA",Assumptions!$C$46,Assumptions!$D$46),IF($B$3="CA",Assumptions!$C$47,Assumptions!$D$47)))</f>
        <v>4.4625</v>
      </c>
    </row>
    <row r="59" customFormat="false" ht="15" hidden="false" customHeight="false" outlineLevel="0" collapsed="false">
      <c r="A59" s="2" t="s">
        <v>244</v>
      </c>
      <c r="C59" s="26" t="n">
        <f aca="false">$B$26*C46</f>
        <v>23.13416</v>
      </c>
      <c r="D59" s="26" t="n">
        <f aca="false">$B$26*D46</f>
        <v>14.2324352</v>
      </c>
      <c r="E59" s="26" t="n">
        <f aca="false">$B$26*E46</f>
        <v>7.1162176</v>
      </c>
      <c r="F59" s="26" t="n">
        <f aca="false">$B$26*F46</f>
        <v>0.38579896</v>
      </c>
      <c r="G59" s="26" t="n">
        <f aca="false">$B$26*G46</f>
        <v>35.76072</v>
      </c>
    </row>
    <row r="60" customFormat="false" ht="15" hidden="false" customHeight="false" outlineLevel="0" collapsed="false">
      <c r="A60" s="2" t="s">
        <v>245</v>
      </c>
      <c r="C60" s="26" t="n">
        <f aca="false">IF($B$2="C",IF(C$33="SendGrid",IF($B$3="CA",Assumptions!$C$54,Assumptions!$D$54),IF($B$3="CA",Assumptions!$C$53,Assumptions!$D$53)),IF(OR(C$33="SendGrid"),IF($B$3="CA",Assumptions!$C$49,Assumptions!$D$49),IF(OR(C$33="Postmark",AND(C$33="Best",$B$3="CA")),IF($B$3="CA",Assumptions!$C$50,Assumptions!$D$50),IF($B$21&lt;=IF($B$3="CA",Assumptions!$C$52,Assumptions!$D$52),0,IF($B$3="CA",Assumptions!$C$51,Assumptions!$D$51)))))</f>
        <v>19.95</v>
      </c>
      <c r="D60" s="26" t="n">
        <f aca="false">IF($B$2="C",IF(D$33="SendGrid",IF($B$3="CA",Assumptions!$C$54,Assumptions!$D$54),IF($B$3="CA",Assumptions!$C$53,Assumptions!$D$53)),IF(OR(D$33="SendGrid"),IF($B$3="CA",Assumptions!$C$49,Assumptions!$D$49),IF(OR(D$33="Postmark",AND(D$33="Best",$B$3="CA")),IF($B$3="CA",Assumptions!$C$50,Assumptions!$D$50),IF($B$21&lt;=IF($B$3="CA",Assumptions!$C$52,Assumptions!$D$52),0,IF($B$3="CA",Assumptions!$C$51,Assumptions!$D$51)))))</f>
        <v>0</v>
      </c>
      <c r="E60" s="26" t="n">
        <f aca="false">IF($B$2="C",IF(E$33="SendGrid",IF($B$3="CA",Assumptions!$C$54,Assumptions!$D$54),IF($B$3="CA",Assumptions!$C$53,Assumptions!$D$53)),IF(OR(E$33="SendGrid"),IF($B$3="CA",Assumptions!$C$49,Assumptions!$D$49),IF(OR(E$33="Postmark",AND(E$33="Best",$B$3="CA")),IF($B$3="CA",Assumptions!$C$50,Assumptions!$D$50),IF($B$21&lt;=IF($B$3="CA",Assumptions!$C$52,Assumptions!$D$52),0,IF($B$3="CA",Assumptions!$C$51,Assumptions!$D$51)))))</f>
        <v>0</v>
      </c>
      <c r="F60" s="26" t="n">
        <f aca="false">IF($B$2="C",IF(F$33="SendGrid",IF($B$3="CA",Assumptions!$C$54,Assumptions!$D$54),IF($B$3="CA",Assumptions!$C$53,Assumptions!$D$53)),IF(OR(F$33="SendGrid"),IF($B$3="CA",Assumptions!$C$49,Assumptions!$D$49),IF(OR(F$33="Postmark",AND(F$33="Best",$B$3="CA")),IF($B$3="CA",Assumptions!$C$50,Assumptions!$D$50),IF($B$21&lt;=IF($B$3="CA",Assumptions!$C$52,Assumptions!$D$52),0,IF($B$3="CA",Assumptions!$C$51,Assumptions!$D$51)))))</f>
        <v>0</v>
      </c>
      <c r="G60" s="26" t="n">
        <f aca="false">IF($B$2="C",IF(G$33="SendGrid",IF($B$3="CA",Assumptions!$C$54,Assumptions!$D$54),IF($B$3="CA",Assumptions!$C$53,Assumptions!$D$53)),IF(OR(G$33="SendGrid"),IF($B$3="CA",Assumptions!$C$49,Assumptions!$D$49),IF(OR(G$33="Postmark",AND(G$33="Best",$B$3="CA")),IF($B$3="CA",Assumptions!$C$50,Assumptions!$D$50),IF($B$21&lt;=IF($B$3="CA",Assumptions!$C$52,Assumptions!$D$52),0,IF($B$3="CA",Assumptions!$C$51,Assumptions!$D$51)))))</f>
        <v>19.95</v>
      </c>
    </row>
    <row r="61" customFormat="false" ht="15" hidden="false" customHeight="false" outlineLevel="0" collapsed="false">
      <c r="A61" s="18" t="s">
        <v>246</v>
      </c>
      <c r="C61" s="27" t="n">
        <f aca="false">SUM(C50:C60)</f>
        <v>113.84126</v>
      </c>
      <c r="D61" s="27" t="n">
        <f aca="false">SUM(D50:D60)</f>
        <v>72.2886352</v>
      </c>
      <c r="E61" s="27" t="n">
        <f aca="false">SUM(E50:E60)</f>
        <v>65.1724176</v>
      </c>
      <c r="F61" s="27" t="n">
        <f aca="false">SUM(F50:F60)</f>
        <v>58.44199896</v>
      </c>
      <c r="G61" s="27" t="n">
        <f aca="false">SUM(G50:G60)</f>
        <v>126.46782</v>
      </c>
    </row>
    <row r="62" customFormat="false" ht="15" hidden="false" customHeight="false" outlineLevel="0" collapsed="false">
      <c r="A62" s="2" t="s">
        <v>247</v>
      </c>
      <c r="C62" s="26" t="n">
        <f aca="false">C61/$B$6</f>
        <v>113.84126</v>
      </c>
      <c r="D62" s="26" t="n">
        <f aca="false">D61/$B$6</f>
        <v>72.2886352</v>
      </c>
      <c r="E62" s="26" t="n">
        <f aca="false">E61/$B$6</f>
        <v>65.1724176</v>
      </c>
      <c r="F62" s="26" t="n">
        <f aca="false">F61/$B$6</f>
        <v>58.44199896</v>
      </c>
      <c r="G62" s="26" t="n">
        <f aca="false">G61/$B$6</f>
        <v>126.46782</v>
      </c>
    </row>
    <row r="63" customFormat="false" ht="15" hidden="false" customHeight="false" outlineLevel="0" collapsed="false">
      <c r="A63" s="2" t="s">
        <v>248</v>
      </c>
      <c r="C63" s="26" t="n">
        <f aca="false">IF($B$27=0,0,C61/$B$27)</f>
        <v>0.68304756</v>
      </c>
      <c r="D63" s="26" t="n">
        <f aca="false">IF($B$27=0,0,D61/$B$27)</f>
        <v>0.4337318112</v>
      </c>
      <c r="E63" s="26" t="n">
        <f aca="false">IF($B$27=0,0,E61/$B$27)</f>
        <v>0.3910345056</v>
      </c>
      <c r="F63" s="26" t="n">
        <f aca="false">IF($B$27=0,0,F61/$B$27)</f>
        <v>0.35065199376</v>
      </c>
      <c r="G63" s="26" t="n">
        <f aca="false">IF($B$27=0,0,G61/$B$27)</f>
        <v>0.75880692</v>
      </c>
    </row>
    <row r="64" customFormat="false" ht="15" hidden="false" customHeight="false" outlineLevel="0" collapsed="false">
      <c r="A64" s="2" t="s">
        <v>249</v>
      </c>
      <c r="C64" s="25" t="n">
        <f aca="false">IF(C61=0,0,SUM(C56:C58)/C61)</f>
        <v>0.394957856228928</v>
      </c>
      <c r="D64" s="25" t="n">
        <f aca="false">IF(D61=0,0,SUM(D56:D58)/D61)</f>
        <v>0.583494208782628</v>
      </c>
      <c r="E64" s="25" t="n">
        <f aca="false">IF(E61=0,0,SUM(E56:E58)/E61)</f>
        <v>0.647206311401282</v>
      </c>
      <c r="F64" s="25" t="n">
        <f aca="false">IF(F61=0,0,SUM(F56:F58)/F61)</f>
        <v>0.72174122635452</v>
      </c>
      <c r="G64" s="25" t="n">
        <f aca="false">IF(G61=0,0,SUM(G56:G58)/G61)</f>
        <v>0.355525223728851</v>
      </c>
    </row>
    <row r="65" customFormat="false" ht="15" hidden="false" customHeight="false" outlineLevel="0" collapsed="false">
      <c r="A65" s="2" t="s">
        <v>250</v>
      </c>
      <c r="C65" s="25" t="n">
        <f aca="false">IF(C61=0,0,C59/C61)</f>
        <v>0.203214194923703</v>
      </c>
      <c r="D65" s="25" t="n">
        <f aca="false">IF(D61=0,0,D59/D61)</f>
        <v>0.196883440400048</v>
      </c>
      <c r="E65" s="25" t="n">
        <f aca="false">IF(E61=0,0,E59/E61)</f>
        <v>0.109190634045161</v>
      </c>
      <c r="F65" s="25" t="n">
        <f aca="false">IF(F61=0,0,F59/F61)</f>
        <v>0.00660139911134895</v>
      </c>
      <c r="G65" s="25" t="n">
        <f aca="false">IF(G61=0,0,G59/G61)</f>
        <v>0.282765370668997</v>
      </c>
    </row>
    <row r="67" customFormat="false" ht="15" hidden="false" customHeight="false" outlineLevel="0" collapsed="false">
      <c r="A67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20"/>
  </cols>
  <sheetData>
    <row r="1" customFormat="false" ht="16.1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175</v>
      </c>
      <c r="B2" s="17" t="s">
        <v>254</v>
      </c>
    </row>
    <row r="3" customFormat="false" ht="15" hidden="false" customHeight="false" outlineLevel="0" collapsed="false">
      <c r="A3" s="2" t="s">
        <v>177</v>
      </c>
      <c r="B3" s="17" t="s">
        <v>178</v>
      </c>
    </row>
    <row r="5" customFormat="false" ht="15" hidden="false" customHeight="false" outlineLevel="0" collapsed="false">
      <c r="A5" s="18" t="s">
        <v>179</v>
      </c>
    </row>
    <row r="6" customFormat="false" ht="15" hidden="false" customHeight="false" outlineLevel="0" collapsed="false">
      <c r="A6" s="2" t="s">
        <v>159</v>
      </c>
      <c r="B6" s="19" t="n">
        <f aca="false">IF($B$2="A",Assumptions!$C$81,IF($B$2="B",Assumptions!$D$81,Assumptions!$E$81))</f>
        <v>1</v>
      </c>
    </row>
    <row r="7" customFormat="false" ht="15" hidden="false" customHeight="false" outlineLevel="0" collapsed="false">
      <c r="A7" s="2" t="s">
        <v>162</v>
      </c>
      <c r="B7" s="19" t="n">
        <f aca="false">IF($B$2="A",Assumptions!$C$82,IF($B$2="B",Assumptions!$D$82,Assumptions!$E$82))*$B$6</f>
        <v>1500</v>
      </c>
    </row>
    <row r="8" customFormat="false" ht="15" hidden="false" customHeight="false" outlineLevel="0" collapsed="false">
      <c r="A8" s="2" t="s">
        <v>180</v>
      </c>
      <c r="B8" s="19" t="n">
        <f aca="false">IF($B$2="A",Assumptions!$C$83,IF($B$2="B",Assumptions!$D$83,Assumptions!$E$83))*$B$6</f>
        <v>3000</v>
      </c>
    </row>
    <row r="9" customFormat="false" ht="15" hidden="false" customHeight="false" outlineLevel="0" collapsed="false">
      <c r="A9" s="2" t="s">
        <v>167</v>
      </c>
      <c r="B9" s="19" t="n">
        <f aca="false">IF($B$2="A",Assumptions!$C$86,IF($B$2="B",Assumptions!$D$86,Assumptions!$E$86))*$B$6</f>
        <v>400</v>
      </c>
    </row>
    <row r="10" customFormat="false" ht="15" hidden="false" customHeight="false" outlineLevel="0" collapsed="false">
      <c r="A10" s="2" t="s">
        <v>181</v>
      </c>
      <c r="B10" s="19" t="n">
        <f aca="false">B9*IF($B$3="CA",Assumptions!$C$40,Assumptions!$D$40)</f>
        <v>400</v>
      </c>
    </row>
    <row r="11" customFormat="false" ht="15" hidden="false" customHeight="false" outlineLevel="0" collapsed="false">
      <c r="A11" s="2" t="s">
        <v>182</v>
      </c>
      <c r="B11" s="20" t="n">
        <f aca="false">B9-B10</f>
        <v>0</v>
      </c>
    </row>
    <row r="12" customFormat="false" ht="15" hidden="false" customHeight="false" outlineLevel="0" collapsed="false">
      <c r="A12" s="2" t="s">
        <v>183</v>
      </c>
      <c r="B12" s="19" t="n">
        <f aca="false">(B8+B11)*Assumptions!$C$68</f>
        <v>4800</v>
      </c>
    </row>
    <row r="13" customFormat="false" ht="15" hidden="false" customHeight="false" outlineLevel="0" collapsed="false">
      <c r="A13" s="2" t="s">
        <v>184</v>
      </c>
      <c r="B13" s="19" t="n">
        <f aca="false">B7*Assumptions!$C$69</f>
        <v>1500</v>
      </c>
    </row>
    <row r="14" customFormat="false" ht="15" hidden="false" customHeight="false" outlineLevel="0" collapsed="false">
      <c r="A14" s="2" t="s">
        <v>164</v>
      </c>
      <c r="B14" s="19" t="n">
        <f aca="false">IF($B$2="A",Assumptions!$C$84,IF($B$2="B",Assumptions!$D$84,Assumptions!$E$84))*$B$6</f>
        <v>800</v>
      </c>
    </row>
    <row r="15" customFormat="false" ht="15" hidden="false" customHeight="false" outlineLevel="0" collapsed="false">
      <c r="A15" s="2" t="s">
        <v>185</v>
      </c>
      <c r="B15" s="19" t="n">
        <f aca="false">B14*IF($B$2="A",Assumptions!$C$85,IF($B$2="B",Assumptions!$D$85,Assumptions!$E$85))</f>
        <v>480</v>
      </c>
    </row>
    <row r="16" customFormat="false" ht="15" hidden="false" customHeight="false" outlineLevel="0" collapsed="false">
      <c r="A16" s="2" t="s">
        <v>186</v>
      </c>
      <c r="B16" s="20" t="n">
        <f aca="false">B14-B15</f>
        <v>320</v>
      </c>
    </row>
    <row r="17" customFormat="false" ht="15" hidden="false" customHeight="false" outlineLevel="0" collapsed="false">
      <c r="A17" s="2" t="s">
        <v>187</v>
      </c>
      <c r="B17" s="19" t="n">
        <f aca="false">B15*Assumptions!$C$67+B16*Assumptions!$C$66</f>
        <v>1600</v>
      </c>
    </row>
    <row r="18" customFormat="false" ht="15" hidden="false" customHeight="false" outlineLevel="0" collapsed="false">
      <c r="A18" s="2" t="s">
        <v>188</v>
      </c>
      <c r="B18" s="19" t="n">
        <f aca="false">B15*Assumptions!$C$63+B16*Assumptions!$C$66</f>
        <v>1600</v>
      </c>
    </row>
    <row r="19" customFormat="false" ht="15" hidden="false" customHeight="false" outlineLevel="0" collapsed="false">
      <c r="A19" s="2" t="s">
        <v>189</v>
      </c>
      <c r="B19" s="19" t="n">
        <f aca="false">MAX(0,B17-IF($B$3="CA",Assumptions!$C$39,Assumptions!$D$39)*B6)</f>
        <v>600</v>
      </c>
    </row>
    <row r="20" customFormat="false" ht="15" hidden="false" customHeight="false" outlineLevel="0" collapsed="false">
      <c r="A20" s="2" t="s">
        <v>190</v>
      </c>
      <c r="B20" s="19" t="n">
        <f aca="false">IF($B$2="A",Assumptions!$C$87,IF($B$2="B",Assumptions!$D$87,Assumptions!$E$87))*$B$6</f>
        <v>300</v>
      </c>
    </row>
    <row r="21" customFormat="false" ht="15" hidden="false" customHeight="false" outlineLevel="0" collapsed="false">
      <c r="A21" s="2" t="s">
        <v>191</v>
      </c>
      <c r="B21" s="19" t="n">
        <f aca="false">IF($B$2="A",Assumptions!$C$89,IF($B$2="B",Assumptions!$D$89,Assumptions!$E$89))*$B$6</f>
        <v>1500</v>
      </c>
    </row>
    <row r="22" customFormat="false" ht="15" hidden="false" customHeight="false" outlineLevel="0" collapsed="false">
      <c r="A22" s="2" t="s">
        <v>192</v>
      </c>
      <c r="B22" s="19" t="n">
        <f aca="false">IF($B$2="A",Assumptions!$C$88,IF($B$2="B",Assumptions!$D$88,Assumptions!$E$88))*$B$6</f>
        <v>600</v>
      </c>
    </row>
    <row r="23" customFormat="false" ht="15" hidden="false" customHeight="false" outlineLevel="0" collapsed="false">
      <c r="A23" s="2" t="s">
        <v>193</v>
      </c>
      <c r="B23" s="19" t="n">
        <f aca="false">B22*Assumptions!$C$70</f>
        <v>1800</v>
      </c>
    </row>
    <row r="24" customFormat="false" ht="15" hidden="false" customHeight="false" outlineLevel="0" collapsed="false">
      <c r="A24" s="2" t="s">
        <v>194</v>
      </c>
      <c r="B24" s="19" t="n">
        <f aca="false">B22*Assumptions!$C$71</f>
        <v>2100</v>
      </c>
    </row>
    <row r="25" customFormat="false" ht="15" hidden="false" customHeight="false" outlineLevel="0" collapsed="false">
      <c r="A25" s="2" t="s">
        <v>195</v>
      </c>
      <c r="B25" s="19" t="n">
        <f aca="false">B7/Assumptions!$C$63+B15+B20+B21*Assumptions!$C$65</f>
        <v>1430</v>
      </c>
    </row>
    <row r="26" customFormat="false" ht="15" hidden="false" customHeight="false" outlineLevel="0" collapsed="false">
      <c r="A26" s="2" t="s">
        <v>196</v>
      </c>
      <c r="B26" s="19" t="n">
        <f aca="false">B25*Assumptions!$C$63*Assumptions!$C$64+B16*Assumptions!$C$66*Assumptions!$C$64</f>
        <v>8900</v>
      </c>
    </row>
    <row r="27" customFormat="false" ht="15" hidden="false" customHeight="false" outlineLevel="0" collapsed="false">
      <c r="A27" s="2" t="s">
        <v>197</v>
      </c>
      <c r="B27" s="21" t="n">
        <f aca="false">(B25+B22)*Assumptions!$C$72</f>
        <v>676.666666666667</v>
      </c>
    </row>
    <row r="29" customFormat="false" ht="45" hidden="false" customHeight="true" outlineLevel="0" collapsed="false">
      <c r="A29" s="18" t="s">
        <v>198</v>
      </c>
      <c r="C29" s="22" t="s">
        <v>199</v>
      </c>
      <c r="D29" s="22" t="s">
        <v>200</v>
      </c>
      <c r="E29" s="22" t="s">
        <v>201</v>
      </c>
      <c r="F29" s="22" t="s">
        <v>202</v>
      </c>
      <c r="G29" s="22" t="s">
        <v>203</v>
      </c>
    </row>
    <row r="30" customFormat="false" ht="15" hidden="false" customHeight="false" outlineLevel="0" collapsed="false">
      <c r="A30" s="2" t="s">
        <v>204</v>
      </c>
      <c r="C30" s="23" t="s">
        <v>205</v>
      </c>
      <c r="D30" s="23" t="s">
        <v>206</v>
      </c>
      <c r="E30" s="23" t="s">
        <v>206</v>
      </c>
      <c r="F30" s="23" t="s">
        <v>206</v>
      </c>
      <c r="G30" s="23" t="s">
        <v>205</v>
      </c>
    </row>
    <row r="31" customFormat="false" ht="15" hidden="false" customHeight="false" outlineLevel="0" collapsed="false">
      <c r="A31" s="2" t="s">
        <v>207</v>
      </c>
      <c r="C31" s="23" t="s">
        <v>205</v>
      </c>
      <c r="D31" s="23" t="s">
        <v>208</v>
      </c>
      <c r="E31" s="23" t="s">
        <v>208</v>
      </c>
      <c r="F31" s="23" t="s">
        <v>208</v>
      </c>
      <c r="G31" s="23" t="s">
        <v>205</v>
      </c>
    </row>
    <row r="32" customFormat="false" ht="15" hidden="false" customHeight="false" outlineLevel="0" collapsed="false">
      <c r="A32" s="2" t="s">
        <v>209</v>
      </c>
      <c r="C32" s="23" t="s">
        <v>210</v>
      </c>
      <c r="D32" s="23" t="s">
        <v>211</v>
      </c>
      <c r="E32" s="23" t="s">
        <v>211</v>
      </c>
      <c r="F32" s="23" t="s">
        <v>211</v>
      </c>
      <c r="G32" s="23" t="s">
        <v>210</v>
      </c>
    </row>
    <row r="33" customFormat="false" ht="15" hidden="false" customHeight="false" outlineLevel="0" collapsed="false">
      <c r="A33" s="2" t="s">
        <v>212</v>
      </c>
      <c r="C33" s="23" t="s">
        <v>213</v>
      </c>
      <c r="D33" s="23" t="s">
        <v>214</v>
      </c>
      <c r="E33" s="23" t="s">
        <v>214</v>
      </c>
      <c r="F33" s="23" t="s">
        <v>214</v>
      </c>
      <c r="G33" s="23" t="s">
        <v>213</v>
      </c>
    </row>
    <row r="34" customFormat="false" ht="15" hidden="false" customHeight="false" outlineLevel="0" collapsed="false">
      <c r="A34" s="2" t="s">
        <v>215</v>
      </c>
      <c r="C34" s="23" t="s">
        <v>216</v>
      </c>
      <c r="D34" s="23" t="s">
        <v>216</v>
      </c>
      <c r="E34" s="23" t="s">
        <v>217</v>
      </c>
      <c r="F34" s="23" t="s">
        <v>218</v>
      </c>
      <c r="G34" s="23" t="s">
        <v>216</v>
      </c>
    </row>
    <row r="35" customFormat="false" ht="15" hidden="false" customHeight="false" outlineLevel="0" collapsed="false">
      <c r="A35" s="2" t="s">
        <v>219</v>
      </c>
      <c r="C35" s="23" t="s">
        <v>220</v>
      </c>
      <c r="D35" s="23" t="s">
        <v>221</v>
      </c>
      <c r="E35" s="23" t="s">
        <v>221</v>
      </c>
      <c r="F35" s="23" t="s">
        <v>221</v>
      </c>
      <c r="G35" s="23" t="s">
        <v>222</v>
      </c>
    </row>
    <row r="37" customFormat="false" ht="15" hidden="false" customHeight="false" outlineLevel="0" collapsed="false">
      <c r="A37" s="18" t="s">
        <v>223</v>
      </c>
    </row>
    <row r="38" customFormat="false" ht="15" hidden="false" customHeight="false" outlineLevel="0" collapsed="false">
      <c r="A38" s="2" t="s">
        <v>224</v>
      </c>
      <c r="C38" s="24" t="n">
        <f aca="false">IF(C34="opus",Assumptions!$C$6,IF(C34="sonnet",Assumptions!$C$11,Assumptions!$C$16))*Assumptions!$C$21</f>
        <v>4</v>
      </c>
      <c r="D38" s="24" t="n">
        <f aca="false">IF(D34="opus",Assumptions!$C$6,IF(D34="sonnet",Assumptions!$C$11,Assumptions!$C$16))*Assumptions!$C$21</f>
        <v>4</v>
      </c>
      <c r="E38" s="24" t="n">
        <f aca="false">IF(E34="opus",Assumptions!$C$6,IF(E34="sonnet",Assumptions!$C$11,Assumptions!$C$16))*Assumptions!$C$21</f>
        <v>2</v>
      </c>
      <c r="F38" s="24" t="n">
        <f aca="false">IF(F34="opus",Assumptions!$C$6,IF(F34="sonnet",Assumptions!$C$11,Assumptions!$C$16))*Assumptions!$C$21</f>
        <v>0.1</v>
      </c>
      <c r="G38" s="24" t="n">
        <f aca="false">IF(G34="opus",Assumptions!$C$6,IF(G34="sonnet",Assumptions!$C$11,Assumptions!$C$16))*Assumptions!$C$21</f>
        <v>4</v>
      </c>
    </row>
    <row r="39" customFormat="false" ht="15" hidden="false" customHeight="false" outlineLevel="0" collapsed="false">
      <c r="A39" s="2" t="s">
        <v>225</v>
      </c>
      <c r="C39" s="24" t="n">
        <f aca="false">IF(C34="opus",Assumptions!$C$7,IF(C34="sonnet",Assumptions!$C$12,Assumptions!$C$17))*Assumptions!$C$21</f>
        <v>20</v>
      </c>
      <c r="D39" s="24" t="n">
        <f aca="false">IF(D34="opus",Assumptions!$C$7,IF(D34="sonnet",Assumptions!$C$12,Assumptions!$C$17))*Assumptions!$C$21</f>
        <v>20</v>
      </c>
      <c r="E39" s="24" t="n">
        <f aca="false">IF(E34="opus",Assumptions!$C$7,IF(E34="sonnet",Assumptions!$C$12,Assumptions!$C$17))*Assumptions!$C$21</f>
        <v>10</v>
      </c>
      <c r="F39" s="24" t="n">
        <f aca="false">IF(F34="opus",Assumptions!$C$7,IF(F34="sonnet",Assumptions!$C$12,Assumptions!$C$17))*Assumptions!$C$21</f>
        <v>0.5</v>
      </c>
      <c r="G39" s="24" t="n">
        <f aca="false">IF(G34="opus",Assumptions!$C$7,IF(G34="sonnet",Assumptions!$C$12,Assumptions!$C$17))*Assumptions!$C$21</f>
        <v>20</v>
      </c>
    </row>
    <row r="40" customFormat="false" ht="15" hidden="false" customHeight="false" outlineLevel="0" collapsed="false">
      <c r="A40" s="2" t="s">
        <v>226</v>
      </c>
      <c r="C40" s="24" t="n">
        <f aca="false">IF(C34="opus",Assumptions!$C$8,IF(C34="sonnet",Assumptions!$C$13,Assumptions!$C$18))*Assumptions!$C$21</f>
        <v>0.2</v>
      </c>
      <c r="D40" s="24" t="n">
        <f aca="false">IF(D34="opus",Assumptions!$C$8,IF(D34="sonnet",Assumptions!$C$13,Assumptions!$C$18))*Assumptions!$C$21</f>
        <v>0.2</v>
      </c>
      <c r="E40" s="24" t="n">
        <f aca="false">IF(E34="opus",Assumptions!$C$8,IF(E34="sonnet",Assumptions!$C$13,Assumptions!$C$18))*Assumptions!$C$21</f>
        <v>0.1</v>
      </c>
      <c r="F40" s="24" t="n">
        <f aca="false">IF(F34="opus",Assumptions!$C$8,IF(F34="sonnet",Assumptions!$C$13,Assumptions!$C$18))*Assumptions!$C$21</f>
        <v>0.01</v>
      </c>
      <c r="G40" s="24" t="n">
        <f aca="false">IF(G34="opus",Assumptions!$C$8,IF(G34="sonnet",Assumptions!$C$13,Assumptions!$C$18))*Assumptions!$C$21</f>
        <v>0.2</v>
      </c>
    </row>
    <row r="41" customFormat="false" ht="15" hidden="false" customHeight="false" outlineLevel="0" collapsed="false">
      <c r="A41" s="2" t="s">
        <v>227</v>
      </c>
      <c r="C41" s="24" t="n">
        <f aca="false">IF(C35="5m",IF(C34="opus",Assumptions!$C$9,IF(C34="sonnet",Assumptions!$C$14,Assumptions!$C$19)),IF(C35="1h",IF(C34="opus",Assumptions!$C$10,IF(C34="sonnet",Assumptions!$C$15,Assumptions!$C$20)),0))*Assumptions!$C$21</f>
        <v>5</v>
      </c>
      <c r="D41" s="24" t="n">
        <f aca="false">IF(D35="5m",IF(D34="opus",Assumptions!$C$9,IF(D34="sonnet",Assumptions!$C$14,Assumptions!$C$19)),IF(D35="1h",IF(D34="opus",Assumptions!$C$10,IF(D34="sonnet",Assumptions!$C$15,Assumptions!$C$20)),0))*Assumptions!$C$21</f>
        <v>8</v>
      </c>
      <c r="E41" s="24" t="n">
        <f aca="false">IF(E35="5m",IF(E34="opus",Assumptions!$C$9,IF(E34="sonnet",Assumptions!$C$14,Assumptions!$C$19)),IF(E35="1h",IF(E34="opus",Assumptions!$C$10,IF(E34="sonnet",Assumptions!$C$15,Assumptions!$C$20)),0))*Assumptions!$C$21</f>
        <v>4</v>
      </c>
      <c r="F41" s="24" t="n">
        <f aca="false">IF(F35="5m",IF(F34="opus",Assumptions!$C$9,IF(F34="sonnet",Assumptions!$C$14,Assumptions!$C$19)),IF(F35="1h",IF(F34="opus",Assumptions!$C$10,IF(F34="sonnet",Assumptions!$C$15,Assumptions!$C$20)),0))*Assumptions!$C$21</f>
        <v>0.2</v>
      </c>
      <c r="G41" s="24" t="n">
        <f aca="false">IF(G35="5m",IF(G34="opus",Assumptions!$C$9,IF(G34="sonnet",Assumptions!$C$14,Assumptions!$C$19)),IF(G35="1h",IF(G34="opus",Assumptions!$C$10,IF(G34="sonnet",Assumptions!$C$15,Assumptions!$C$20)),0))*Assumptions!$C$21</f>
        <v>0</v>
      </c>
    </row>
    <row r="42" customFormat="false" ht="15" hidden="false" customHeight="false" outlineLevel="0" collapsed="false">
      <c r="A42" s="2" t="s">
        <v>228</v>
      </c>
      <c r="C42" s="25" t="n">
        <f aca="false">IF(C35="5m",IF($B$2="A",Assumptions!$C$76,IF($B$2="B",Assumptions!$D$76,Assumptions!$E$76)),IF(C35="1h",IF($B$2="A",Assumptions!$C$77,IF($B$2="B",Assumptions!$D$77,Assumptions!$E$77)),1))</f>
        <v>0.15</v>
      </c>
      <c r="D42" s="25" t="n">
        <f aca="false">IF(D35="5m",IF($B$2="A",Assumptions!$C$76,IF($B$2="B",Assumptions!$D$76,Assumptions!$E$76)),IF(D35="1h",IF($B$2="A",Assumptions!$C$77,IF($B$2="B",Assumptions!$D$77,Assumptions!$E$77)),1))</f>
        <v>0.03</v>
      </c>
      <c r="E42" s="25" t="n">
        <f aca="false">IF(E35="5m",IF($B$2="A",Assumptions!$C$76,IF($B$2="B",Assumptions!$D$76,Assumptions!$E$76)),IF(E35="1h",IF($B$2="A",Assumptions!$C$77,IF($B$2="B",Assumptions!$D$77,Assumptions!$E$77)),1))</f>
        <v>0.03</v>
      </c>
      <c r="F42" s="25" t="n">
        <f aca="false">IF(F35="5m",IF($B$2="A",Assumptions!$C$76,IF($B$2="B",Assumptions!$D$76,Assumptions!$E$76)),IF(F35="1h",IF($B$2="A",Assumptions!$C$77,IF($B$2="B",Assumptions!$D$77,Assumptions!$E$77)),1))</f>
        <v>0.03</v>
      </c>
      <c r="G42" s="25" t="n">
        <f aca="false">IF(G35="5m",IF($B$2="A",Assumptions!$C$76,IF($B$2="B",Assumptions!$D$76,Assumptions!$E$76)),IF(G35="1h",IF($B$2="A",Assumptions!$C$77,IF($B$2="B",Assumptions!$D$77,Assumptions!$E$77)),1))</f>
        <v>1</v>
      </c>
    </row>
    <row r="43" customFormat="false" ht="15" hidden="false" customHeight="false" outlineLevel="0" collapsed="false">
      <c r="A43" s="2" t="s">
        <v>229</v>
      </c>
      <c r="C43" s="24" t="n">
        <f aca="false">IF(C35="none",Assumptions!$C$58*C38,Assumptions!$C$58*(C42*C41+(1-C42)*C40))/1000000</f>
        <v>0.00266432</v>
      </c>
      <c r="D43" s="24" t="n">
        <f aca="false">IF(D35="none",Assumptions!$C$58*D38,Assumptions!$C$58*(D42*D41+(1-D42)*D40))/1000000</f>
        <v>0.001256864</v>
      </c>
      <c r="E43" s="24" t="n">
        <f aca="false">IF(E35="none",Assumptions!$C$58*E38,Assumptions!$C$58*(E42*E41+(1-E42)*E40))/1000000</f>
        <v>0.000628432</v>
      </c>
      <c r="F43" s="24" t="n">
        <f aca="false">IF(F35="none",Assumptions!$C$58*F38,Assumptions!$C$58*(F42*F41+(1-F42)*F40))/1000000</f>
        <v>4.54672E-005</v>
      </c>
      <c r="G43" s="24" t="n">
        <f aca="false">IF(G35="none",Assumptions!$C$58*G38,Assumptions!$C$58*(G42*G41+(1-G42)*G40))/1000000</f>
        <v>0.011584</v>
      </c>
    </row>
    <row r="44" customFormat="false" ht="15" hidden="false" customHeight="false" outlineLevel="0" collapsed="false">
      <c r="A44" s="2" t="s">
        <v>230</v>
      </c>
      <c r="C44" s="24" t="n">
        <f aca="false">(Assumptions!$C$59+Assumptions!$C$60+Assumptions!$C$61)*C38/1000000</f>
        <v>0.00202</v>
      </c>
      <c r="D44" s="24" t="n">
        <f aca="false">(Assumptions!$C$59+Assumptions!$C$60+Assumptions!$C$61)*D38/1000000</f>
        <v>0.00202</v>
      </c>
      <c r="E44" s="24" t="n">
        <f aca="false">(Assumptions!$C$59+Assumptions!$C$60+Assumptions!$C$61)*E38/1000000</f>
        <v>0.00101</v>
      </c>
      <c r="F44" s="24" t="n">
        <f aca="false">(Assumptions!$C$59+Assumptions!$C$60+Assumptions!$C$61)*F38/1000000</f>
        <v>5.05E-005</v>
      </c>
      <c r="G44" s="24" t="n">
        <f aca="false">(Assumptions!$C$59+Assumptions!$C$60+Assumptions!$C$61)*G38/1000000</f>
        <v>0.00202</v>
      </c>
    </row>
    <row r="45" customFormat="false" ht="15" hidden="false" customHeight="false" outlineLevel="0" collapsed="false">
      <c r="A45" s="2" t="s">
        <v>231</v>
      </c>
      <c r="C45" s="24" t="n">
        <f aca="false">Assumptions!$C$62*C39/1000000</f>
        <v>0.0028</v>
      </c>
      <c r="D45" s="24" t="n">
        <f aca="false">Assumptions!$C$62*D39/1000000</f>
        <v>0.0028</v>
      </c>
      <c r="E45" s="24" t="n">
        <f aca="false">Assumptions!$C$62*E39/1000000</f>
        <v>0.0014</v>
      </c>
      <c r="F45" s="24" t="n">
        <f aca="false">Assumptions!$C$62*F39/1000000</f>
        <v>7E-005</v>
      </c>
      <c r="G45" s="24" t="n">
        <f aca="false">Assumptions!$C$62*G39/1000000</f>
        <v>0.0028</v>
      </c>
    </row>
    <row r="46" customFormat="false" ht="15" hidden="false" customHeight="false" outlineLevel="0" collapsed="false">
      <c r="A46" s="2" t="s">
        <v>232</v>
      </c>
      <c r="C46" s="24" t="n">
        <f aca="false">C43+C44+C45</f>
        <v>0.00748432</v>
      </c>
      <c r="D46" s="24" t="n">
        <f aca="false">D43+D44+D45</f>
        <v>0.006076864</v>
      </c>
      <c r="E46" s="24" t="n">
        <f aca="false">E43+E44+E45</f>
        <v>0.003038432</v>
      </c>
      <c r="F46" s="24" t="n">
        <f aca="false">F43+F44+F45</f>
        <v>0.0001659672</v>
      </c>
      <c r="G46" s="24" t="n">
        <f aca="false">G43+G44+G45</f>
        <v>0.016404</v>
      </c>
    </row>
    <row r="47" customFormat="false" ht="15" hidden="false" customHeight="false" outlineLevel="0" collapsed="false">
      <c r="A47" s="2" t="s">
        <v>233</v>
      </c>
      <c r="C47" s="24" t="n">
        <f aca="false">C46*Assumptions!$C$63*Assumptions!$C$64</f>
        <v>0.04490592</v>
      </c>
      <c r="D47" s="24" t="n">
        <f aca="false">D46*Assumptions!$C$63*Assumptions!$C$64</f>
        <v>0.036461184</v>
      </c>
      <c r="E47" s="24" t="n">
        <f aca="false">E46*Assumptions!$C$63*Assumptions!$C$64</f>
        <v>0.018230592</v>
      </c>
      <c r="F47" s="24" t="n">
        <f aca="false">F46*Assumptions!$C$63*Assumptions!$C$64</f>
        <v>0.0009958032</v>
      </c>
      <c r="G47" s="24" t="n">
        <f aca="false">G46*Assumptions!$C$63*Assumptions!$C$64</f>
        <v>0.098424</v>
      </c>
    </row>
    <row r="49" customFormat="false" ht="15" hidden="false" customHeight="false" outlineLevel="0" collapsed="false">
      <c r="A49" s="18" t="s">
        <v>234</v>
      </c>
    </row>
    <row r="50" customFormat="false" ht="15" hidden="false" customHeight="false" outlineLevel="0" collapsed="false">
      <c r="A50" s="2" t="s">
        <v>235</v>
      </c>
      <c r="C50" s="26" t="n">
        <f aca="false">IF(C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90.69</v>
      </c>
      <c r="D50" s="26" t="n">
        <f aca="false">IF(D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63.6</v>
      </c>
      <c r="E50" s="26" t="n">
        <f aca="false">IF(E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63.6</v>
      </c>
      <c r="F50" s="26" t="n">
        <f aca="false">IF(F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63.6</v>
      </c>
      <c r="G50" s="26" t="n">
        <f aca="false">IF(G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90.69</v>
      </c>
    </row>
    <row r="51" customFormat="false" ht="15" hidden="false" customHeight="false" outlineLevel="0" collapsed="false">
      <c r="A51" s="2" t="s">
        <v>236</v>
      </c>
      <c r="C51" s="26" t="n">
        <f aca="false">$B$6*((IF($B$3="CA",Assumptions!$C$30,Assumptions!$D$30)+IF($B$3="CA",Assumptions!$C$31,Assumptions!$D$31))/Assumptions!$C$34+IF(C$30="Twilio",IF($B$3="CA",Assumptions!$C$32,Assumptions!$D$32),IF($B$3="CA",Assumptions!$C$33,Assumptions!$D$33)))</f>
        <v>0</v>
      </c>
      <c r="D51" s="26" t="n">
        <f aca="false">$B$6*((IF($B$3="CA",Assumptions!$C$30,Assumptions!$D$30)+IF($B$3="CA",Assumptions!$C$31,Assumptions!$D$31))/Assumptions!$C$34+IF(D$30="Twilio",IF($B$3="CA",Assumptions!$C$32,Assumptions!$D$32),IF($B$3="CA",Assumptions!$C$33,Assumptions!$D$33)))</f>
        <v>0</v>
      </c>
      <c r="E51" s="26" t="n">
        <f aca="false">$B$6*((IF($B$3="CA",Assumptions!$C$30,Assumptions!$D$30)+IF($B$3="CA",Assumptions!$C$31,Assumptions!$D$31))/Assumptions!$C$34+IF(E$30="Twilio",IF($B$3="CA",Assumptions!$C$32,Assumptions!$D$32),IF($B$3="CA",Assumptions!$C$33,Assumptions!$D$33)))</f>
        <v>0</v>
      </c>
      <c r="F51" s="26" t="n">
        <f aca="false">$B$6*((IF($B$3="CA",Assumptions!$C$30,Assumptions!$D$30)+IF($B$3="CA",Assumptions!$C$31,Assumptions!$D$31))/Assumptions!$C$34+IF(F$30="Twilio",IF($B$3="CA",Assumptions!$C$32,Assumptions!$D$32),IF($B$3="CA",Assumptions!$C$33,Assumptions!$D$33)))</f>
        <v>0</v>
      </c>
      <c r="G51" s="26" t="n">
        <f aca="false">$B$6*((IF($B$3="CA",Assumptions!$C$30,Assumptions!$D$30)+IF($B$3="CA",Assumptions!$C$31,Assumptions!$D$31))/Assumptions!$C$34+IF(G$30="Twilio",IF($B$3="CA",Assumptions!$C$32,Assumptions!$D$32),IF($B$3="CA",Assumptions!$C$33,Assumptions!$D$33)))</f>
        <v>0</v>
      </c>
    </row>
    <row r="52" customFormat="false" ht="15" hidden="false" customHeight="false" outlineLevel="0" collapsed="false">
      <c r="A52" s="2" t="s">
        <v>237</v>
      </c>
      <c r="C52" s="26" t="n">
        <f aca="false">$B$6*IF(C$30="Twilio",IF($B$3="CA",Assumptions!$C$28,Assumptions!$D$28),IF($B$3="CA",Assumptions!$C$29,Assumptions!$D$29))</f>
        <v>1.15</v>
      </c>
      <c r="D52" s="26" t="n">
        <f aca="false">$B$6*IF(D$30="Twilio",IF($B$3="CA",Assumptions!$C$28,Assumptions!$D$28),IF($B$3="CA",Assumptions!$C$29,Assumptions!$D$29))</f>
        <v>1.1</v>
      </c>
      <c r="E52" s="26" t="n">
        <f aca="false">$B$6*IF(E$30="Twilio",IF($B$3="CA",Assumptions!$C$28,Assumptions!$D$28),IF($B$3="CA",Assumptions!$C$29,Assumptions!$D$29))</f>
        <v>1.1</v>
      </c>
      <c r="F52" s="26" t="n">
        <f aca="false">$B$6*IF(F$30="Twilio",IF($B$3="CA",Assumptions!$C$28,Assumptions!$D$28),IF($B$3="CA",Assumptions!$C$29,Assumptions!$D$29))</f>
        <v>1.1</v>
      </c>
      <c r="G52" s="26" t="n">
        <f aca="false">$B$6*IF(G$30="Twilio",IF($B$3="CA",Assumptions!$C$28,Assumptions!$D$28),IF($B$3="CA",Assumptions!$C$29,Assumptions!$D$29))</f>
        <v>1.15</v>
      </c>
    </row>
    <row r="53" customFormat="false" ht="15" hidden="false" customHeight="false" outlineLevel="0" collapsed="false">
      <c r="A53" s="2" t="s">
        <v>238</v>
      </c>
      <c r="C53" s="26" t="n">
        <f aca="false">$B$16*IF($B$3="CA",Assumptions!$C$35,Assumptions!$D$35)+$B$10*IF($B$3="CA",Assumptions!$C$37,Assumptions!$D$37)+$B$19*IF($B$3="CA",Assumptions!$C$38,Assumptions!$D$38)</f>
        <v>13.128</v>
      </c>
      <c r="D53" s="26" t="n">
        <f aca="false">$B$16*IF($B$3="CA",Assumptions!$C$35,Assumptions!$D$35)+$B$10*IF($B$3="CA",Assumptions!$C$37,Assumptions!$D$37)+$B$19*IF($B$3="CA",Assumptions!$C$38,Assumptions!$D$38)</f>
        <v>13.128</v>
      </c>
      <c r="E53" s="26" t="n">
        <f aca="false">$B$16*IF($B$3="CA",Assumptions!$C$35,Assumptions!$D$35)+$B$10*IF($B$3="CA",Assumptions!$C$37,Assumptions!$D$37)+$B$19*IF($B$3="CA",Assumptions!$C$38,Assumptions!$D$38)</f>
        <v>13.128</v>
      </c>
      <c r="F53" s="26" t="n">
        <f aca="false">$B$16*IF($B$3="CA",Assumptions!$C$35,Assumptions!$D$35)+$B$10*IF($B$3="CA",Assumptions!$C$37,Assumptions!$D$37)+$B$19*IF($B$3="CA",Assumptions!$C$38,Assumptions!$D$38)</f>
        <v>13.128</v>
      </c>
      <c r="G53" s="26" t="n">
        <f aca="false">$B$16*IF($B$3="CA",Assumptions!$C$35,Assumptions!$D$35)+$B$10*IF($B$3="CA",Assumptions!$C$37,Assumptions!$D$37)+$B$19*IF($B$3="CA",Assumptions!$C$38,Assumptions!$D$38)</f>
        <v>13.128</v>
      </c>
    </row>
    <row r="54" customFormat="false" ht="15" hidden="false" customHeight="false" outlineLevel="0" collapsed="false">
      <c r="A54" s="2" t="s">
        <v>239</v>
      </c>
      <c r="C54" s="26" t="n">
        <f aca="false">IF(C$31="Twilio",($B$16+$B$10+$B$17+$B$18)*IF($B$3="CA",Assumptions!$C$41,Assumptions!$D$41),0)</f>
        <v>19.6</v>
      </c>
      <c r="D54" s="26" t="n">
        <f aca="false">IF(D$31="Twilio",($B$16+$B$10+$B$17+$B$18)*IF($B$3="CA",Assumptions!$C$41,Assumptions!$D$41),0)</f>
        <v>0</v>
      </c>
      <c r="E54" s="26" t="n">
        <f aca="false">IF(E$31="Twilio",($B$16+$B$10+$B$17+$B$18)*IF($B$3="CA",Assumptions!$C$41,Assumptions!$D$41),0)</f>
        <v>0</v>
      </c>
      <c r="F54" s="26" t="n">
        <f aca="false">IF(F$31="Twilio",($B$16+$B$10+$B$17+$B$18)*IF($B$3="CA",Assumptions!$C$41,Assumptions!$D$41),0)</f>
        <v>0</v>
      </c>
      <c r="G54" s="26" t="n">
        <f aca="false">IF(G$31="Twilio",($B$16+$B$10+$B$17+$B$18)*IF($B$3="CA",Assumptions!$C$41,Assumptions!$D$41),0)</f>
        <v>19.6</v>
      </c>
    </row>
    <row r="55" customFormat="false" ht="15" hidden="false" customHeight="false" outlineLevel="0" collapsed="false">
      <c r="A55" s="2" t="s">
        <v>240</v>
      </c>
      <c r="C55" s="26" t="n">
        <f aca="false">$B$20*Assumptions!$C$63*2*IF($B$3="CA",Assumptions!$C$42,Assumptions!$D$42)</f>
        <v>0</v>
      </c>
      <c r="D55" s="26" t="n">
        <f aca="false">$B$20*Assumptions!$C$63*2*IF($B$3="CA",Assumptions!$C$42,Assumptions!$D$42)</f>
        <v>0</v>
      </c>
      <c r="E55" s="26" t="n">
        <f aca="false">$B$20*Assumptions!$C$63*2*IF($B$3="CA",Assumptions!$C$42,Assumptions!$D$42)</f>
        <v>0</v>
      </c>
      <c r="F55" s="26" t="n">
        <f aca="false">$B$20*Assumptions!$C$63*2*IF($B$3="CA",Assumptions!$C$42,Assumptions!$D$42)</f>
        <v>0</v>
      </c>
      <c r="G55" s="26" t="n">
        <f aca="false">$B$20*Assumptions!$C$63*2*IF($B$3="CA",Assumptions!$C$42,Assumptions!$D$42)</f>
        <v>0</v>
      </c>
    </row>
    <row r="56" customFormat="false" ht="15" hidden="false" customHeight="false" outlineLevel="0" collapsed="false">
      <c r="A56" s="2" t="s">
        <v>241</v>
      </c>
      <c r="C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D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E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F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G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</row>
    <row r="57" customFormat="false" ht="15" hidden="false" customHeight="false" outlineLevel="0" collapsed="false">
      <c r="A57" s="2" t="s">
        <v>242</v>
      </c>
      <c r="C57" s="26" t="n">
        <f aca="false">$B$23*IF($B$3="CA",Assumptions!$C$44,Assumptions!$D$44)</f>
        <v>18</v>
      </c>
      <c r="D57" s="26" t="n">
        <f aca="false">$B$23*IF($B$3="CA",Assumptions!$C$44,Assumptions!$D$44)</f>
        <v>18</v>
      </c>
      <c r="E57" s="26" t="n">
        <f aca="false">$B$23*IF($B$3="CA",Assumptions!$C$44,Assumptions!$D$44)</f>
        <v>18</v>
      </c>
      <c r="F57" s="26" t="n">
        <f aca="false">$B$23*IF($B$3="CA",Assumptions!$C$44,Assumptions!$D$44)</f>
        <v>18</v>
      </c>
      <c r="G57" s="26" t="n">
        <f aca="false">$B$23*IF($B$3="CA",Assumptions!$C$44,Assumptions!$D$44)</f>
        <v>18</v>
      </c>
    </row>
    <row r="58" customFormat="false" ht="15" hidden="false" customHeight="false" outlineLevel="0" collapsed="false">
      <c r="A58" s="2" t="s">
        <v>243</v>
      </c>
      <c r="C58" s="26" t="n">
        <f aca="false">$B$24*IF(C$32="TwilioNative",IF($B$3="CA",Assumptions!$C$45,Assumptions!$D$45),IF(C$32="TwilioSIP",IF($B$3="CA",Assumptions!$C$46,Assumptions!$D$46),IF($B$3="CA",Assumptions!$C$47,Assumptions!$D$47)))</f>
        <v>17.85</v>
      </c>
      <c r="D58" s="26" t="n">
        <f aca="false">$B$24*IF(D$32="TwilioNative",IF($B$3="CA",Assumptions!$C$45,Assumptions!$D$45),IF(D$32="TwilioSIP",IF($B$3="CA",Assumptions!$C$46,Assumptions!$D$46),IF($B$3="CA",Assumptions!$C$47,Assumptions!$D$47)))</f>
        <v>6.72</v>
      </c>
      <c r="E58" s="26" t="n">
        <f aca="false">$B$24*IF(E$32="TwilioNative",IF($B$3="CA",Assumptions!$C$45,Assumptions!$D$45),IF(E$32="TwilioSIP",IF($B$3="CA",Assumptions!$C$46,Assumptions!$D$46),IF($B$3="CA",Assumptions!$C$47,Assumptions!$D$47)))</f>
        <v>6.72</v>
      </c>
      <c r="F58" s="26" t="n">
        <f aca="false">$B$24*IF(F$32="TwilioNative",IF($B$3="CA",Assumptions!$C$45,Assumptions!$D$45),IF(F$32="TwilioSIP",IF($B$3="CA",Assumptions!$C$46,Assumptions!$D$46),IF($B$3="CA",Assumptions!$C$47,Assumptions!$D$47)))</f>
        <v>6.72</v>
      </c>
      <c r="G58" s="26" t="n">
        <f aca="false">$B$24*IF(G$32="TwilioNative",IF($B$3="CA",Assumptions!$C$45,Assumptions!$D$45),IF(G$32="TwilioSIP",IF($B$3="CA",Assumptions!$C$46,Assumptions!$D$46),IF($B$3="CA",Assumptions!$C$47,Assumptions!$D$47)))</f>
        <v>17.85</v>
      </c>
    </row>
    <row r="59" customFormat="false" ht="15" hidden="false" customHeight="false" outlineLevel="0" collapsed="false">
      <c r="A59" s="2" t="s">
        <v>244</v>
      </c>
      <c r="C59" s="26" t="n">
        <f aca="false">$B$26*C46</f>
        <v>66.610448</v>
      </c>
      <c r="D59" s="26" t="n">
        <f aca="false">$B$26*D46</f>
        <v>54.0840896</v>
      </c>
      <c r="E59" s="26" t="n">
        <f aca="false">$B$26*E46</f>
        <v>27.0420448</v>
      </c>
      <c r="F59" s="26" t="n">
        <f aca="false">$B$26*F46</f>
        <v>1.47710808</v>
      </c>
      <c r="G59" s="26" t="n">
        <f aca="false">$B$26*G46</f>
        <v>145.9956</v>
      </c>
    </row>
    <row r="60" customFormat="false" ht="15" hidden="false" customHeight="false" outlineLevel="0" collapsed="false">
      <c r="A60" s="2" t="s">
        <v>245</v>
      </c>
      <c r="C60" s="26" t="n">
        <f aca="false">IF($B$2="C",IF(C$33="SendGrid",IF($B$3="CA",Assumptions!$C$54,Assumptions!$D$54),IF($B$3="CA",Assumptions!$C$53,Assumptions!$D$53)),IF(OR(C$33="SendGrid"),IF($B$3="CA",Assumptions!$C$49,Assumptions!$D$49),IF(OR(C$33="Postmark",AND(C$33="Best",$B$3="CA")),IF($B$3="CA",Assumptions!$C$50,Assumptions!$D$50),IF($B$21&lt;=IF($B$3="CA",Assumptions!$C$52,Assumptions!$D$52),0,IF($B$3="CA",Assumptions!$C$51,Assumptions!$D$51)))))</f>
        <v>19.95</v>
      </c>
      <c r="D60" s="26" t="n">
        <f aca="false">IF($B$2="C",IF(D$33="SendGrid",IF($B$3="CA",Assumptions!$C$54,Assumptions!$D$54),IF($B$3="CA",Assumptions!$C$53,Assumptions!$D$53)),IF(OR(D$33="SendGrid"),IF($B$3="CA",Assumptions!$C$49,Assumptions!$D$49),IF(OR(D$33="Postmark",AND(D$33="Best",$B$3="CA")),IF($B$3="CA",Assumptions!$C$50,Assumptions!$D$50),IF($B$21&lt;=IF($B$3="CA",Assumptions!$C$52,Assumptions!$D$52),0,IF($B$3="CA",Assumptions!$C$51,Assumptions!$D$51)))))</f>
        <v>15</v>
      </c>
      <c r="E60" s="26" t="n">
        <f aca="false">IF($B$2="C",IF(E$33="SendGrid",IF($B$3="CA",Assumptions!$C$54,Assumptions!$D$54),IF($B$3="CA",Assumptions!$C$53,Assumptions!$D$53)),IF(OR(E$33="SendGrid"),IF($B$3="CA",Assumptions!$C$49,Assumptions!$D$49),IF(OR(E$33="Postmark",AND(E$33="Best",$B$3="CA")),IF($B$3="CA",Assumptions!$C$50,Assumptions!$D$50),IF($B$21&lt;=IF($B$3="CA",Assumptions!$C$52,Assumptions!$D$52),0,IF($B$3="CA",Assumptions!$C$51,Assumptions!$D$51)))))</f>
        <v>15</v>
      </c>
      <c r="F60" s="26" t="n">
        <f aca="false">IF($B$2="C",IF(F$33="SendGrid",IF($B$3="CA",Assumptions!$C$54,Assumptions!$D$54),IF($B$3="CA",Assumptions!$C$53,Assumptions!$D$53)),IF(OR(F$33="SendGrid"),IF($B$3="CA",Assumptions!$C$49,Assumptions!$D$49),IF(OR(F$33="Postmark",AND(F$33="Best",$B$3="CA")),IF($B$3="CA",Assumptions!$C$50,Assumptions!$D$50),IF($B$21&lt;=IF($B$3="CA",Assumptions!$C$52,Assumptions!$D$52),0,IF($B$3="CA",Assumptions!$C$51,Assumptions!$D$51)))))</f>
        <v>15</v>
      </c>
      <c r="G60" s="26" t="n">
        <f aca="false">IF($B$2="C",IF(G$33="SendGrid",IF($B$3="CA",Assumptions!$C$54,Assumptions!$D$54),IF($B$3="CA",Assumptions!$C$53,Assumptions!$D$53)),IF(OR(G$33="SendGrid"),IF($B$3="CA",Assumptions!$C$49,Assumptions!$D$49),IF(OR(G$33="Postmark",AND(G$33="Best",$B$3="CA")),IF($B$3="CA",Assumptions!$C$50,Assumptions!$D$50),IF($B$21&lt;=IF($B$3="CA",Assumptions!$C$52,Assumptions!$D$52),0,IF($B$3="CA",Assumptions!$C$51,Assumptions!$D$51)))))</f>
        <v>19.95</v>
      </c>
    </row>
    <row r="61" customFormat="false" ht="15" hidden="false" customHeight="false" outlineLevel="0" collapsed="false">
      <c r="A61" s="18" t="s">
        <v>246</v>
      </c>
      <c r="C61" s="27" t="n">
        <f aca="false">SUM(C50:C60)</f>
        <v>390.978448</v>
      </c>
      <c r="D61" s="27" t="n">
        <f aca="false">SUM(D50:D60)</f>
        <v>315.6320896</v>
      </c>
      <c r="E61" s="27" t="n">
        <f aca="false">SUM(E50:E60)</f>
        <v>288.5900448</v>
      </c>
      <c r="F61" s="27" t="n">
        <f aca="false">SUM(F50:F60)</f>
        <v>263.02510808</v>
      </c>
      <c r="G61" s="27" t="n">
        <f aca="false">SUM(G50:G60)</f>
        <v>470.3636</v>
      </c>
    </row>
    <row r="62" customFormat="false" ht="15" hidden="false" customHeight="false" outlineLevel="0" collapsed="false">
      <c r="A62" s="2" t="s">
        <v>247</v>
      </c>
      <c r="C62" s="26" t="n">
        <f aca="false">C61/$B$6</f>
        <v>390.978448</v>
      </c>
      <c r="D62" s="26" t="n">
        <f aca="false">D61/$B$6</f>
        <v>315.6320896</v>
      </c>
      <c r="E62" s="26" t="n">
        <f aca="false">E61/$B$6</f>
        <v>288.5900448</v>
      </c>
      <c r="F62" s="26" t="n">
        <f aca="false">F61/$B$6</f>
        <v>263.02510808</v>
      </c>
      <c r="G62" s="26" t="n">
        <f aca="false">G61/$B$6</f>
        <v>470.3636</v>
      </c>
    </row>
    <row r="63" customFormat="false" ht="15" hidden="false" customHeight="false" outlineLevel="0" collapsed="false">
      <c r="A63" s="2" t="s">
        <v>248</v>
      </c>
      <c r="C63" s="26" t="n">
        <f aca="false">IF($B$27=0,0,C61/$B$27)</f>
        <v>0.577800662068966</v>
      </c>
      <c r="D63" s="26" t="n">
        <f aca="false">IF($B$27=0,0,D61/$B$27)</f>
        <v>0.466451363940887</v>
      </c>
      <c r="E63" s="26" t="n">
        <f aca="false">IF($B$27=0,0,E61/$B$27)</f>
        <v>0.426487750935961</v>
      </c>
      <c r="F63" s="26" t="n">
        <f aca="false">IF($B$27=0,0,F61/$B$27)</f>
        <v>0.388707056275862</v>
      </c>
      <c r="G63" s="26" t="n">
        <f aca="false">IF($B$27=0,0,G61/$B$27)</f>
        <v>0.695118620689655</v>
      </c>
    </row>
    <row r="64" customFormat="false" ht="15" hidden="false" customHeight="false" outlineLevel="0" collapsed="false">
      <c r="A64" s="2" t="s">
        <v>249</v>
      </c>
      <c r="C64" s="25" t="n">
        <f aca="false">IF(C61=0,0,SUM(C56:C58)/C61)</f>
        <v>0.459999779834412</v>
      </c>
      <c r="D64" s="25" t="n">
        <f aca="false">IF(D61=0,0,SUM(D56:D58)/D61)</f>
        <v>0.534546408807224</v>
      </c>
      <c r="E64" s="25" t="n">
        <f aca="false">IF(E61=0,0,SUM(E56:E58)/E61)</f>
        <v>0.584635551503265</v>
      </c>
      <c r="F64" s="25" t="n">
        <f aca="false">IF(F61=0,0,SUM(F56:F58)/F61)</f>
        <v>0.641459673685157</v>
      </c>
      <c r="G64" s="25" t="n">
        <f aca="false">IF(G61=0,0,SUM(G56:G58)/G61)</f>
        <v>0.382363771346252</v>
      </c>
    </row>
    <row r="65" customFormat="false" ht="15" hidden="false" customHeight="false" outlineLevel="0" collapsed="false">
      <c r="A65" s="2" t="s">
        <v>250</v>
      </c>
      <c r="C65" s="25" t="n">
        <f aca="false">IF(C61=0,0,C59/C61)</f>
        <v>0.170368592797729</v>
      </c>
      <c r="D65" s="25" t="n">
        <f aca="false">IF(D61=0,0,D59/D61)</f>
        <v>0.171351682487483</v>
      </c>
      <c r="E65" s="25" t="n">
        <f aca="false">IF(E61=0,0,E59/E61)</f>
        <v>0.0937040112341394</v>
      </c>
      <c r="F65" s="25" t="n">
        <f aca="false">IF(F61=0,0,F59/F61)</f>
        <v>0.00561584439897172</v>
      </c>
      <c r="G65" s="25" t="n">
        <f aca="false">IF(G61=0,0,G59/G61)</f>
        <v>0.310388814100411</v>
      </c>
    </row>
    <row r="67" customFormat="false" ht="15" hidden="false" customHeight="false" outlineLevel="0" collapsed="false">
      <c r="A67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20"/>
  </cols>
  <sheetData>
    <row r="1" customFormat="false" ht="16.1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175</v>
      </c>
      <c r="B2" s="17" t="s">
        <v>254</v>
      </c>
    </row>
    <row r="3" customFormat="false" ht="15" hidden="false" customHeight="false" outlineLevel="0" collapsed="false">
      <c r="A3" s="2" t="s">
        <v>177</v>
      </c>
      <c r="B3" s="17" t="s">
        <v>6</v>
      </c>
    </row>
    <row r="5" customFormat="false" ht="15" hidden="false" customHeight="false" outlineLevel="0" collapsed="false">
      <c r="A5" s="18" t="s">
        <v>179</v>
      </c>
    </row>
    <row r="6" customFormat="false" ht="15" hidden="false" customHeight="false" outlineLevel="0" collapsed="false">
      <c r="A6" s="2" t="s">
        <v>159</v>
      </c>
      <c r="B6" s="19" t="n">
        <f aca="false">IF($B$2="A",Assumptions!$C$81,IF($B$2="B",Assumptions!$D$81,Assumptions!$E$81))</f>
        <v>1</v>
      </c>
    </row>
    <row r="7" customFormat="false" ht="15" hidden="false" customHeight="false" outlineLevel="0" collapsed="false">
      <c r="A7" s="2" t="s">
        <v>162</v>
      </c>
      <c r="B7" s="19" t="n">
        <f aca="false">IF($B$2="A",Assumptions!$C$82,IF($B$2="B",Assumptions!$D$82,Assumptions!$E$82))*$B$6</f>
        <v>1500</v>
      </c>
    </row>
    <row r="8" customFormat="false" ht="15" hidden="false" customHeight="false" outlineLevel="0" collapsed="false">
      <c r="A8" s="2" t="s">
        <v>180</v>
      </c>
      <c r="B8" s="19" t="n">
        <f aca="false">IF($B$2="A",Assumptions!$C$83,IF($B$2="B",Assumptions!$D$83,Assumptions!$E$83))*$B$6</f>
        <v>3000</v>
      </c>
    </row>
    <row r="9" customFormat="false" ht="15" hidden="false" customHeight="false" outlineLevel="0" collapsed="false">
      <c r="A9" s="2" t="s">
        <v>167</v>
      </c>
      <c r="B9" s="19" t="n">
        <f aca="false">IF($B$2="A",Assumptions!$C$86,IF($B$2="B",Assumptions!$D$86,Assumptions!$E$86))*$B$6</f>
        <v>400</v>
      </c>
    </row>
    <row r="10" customFormat="false" ht="15" hidden="false" customHeight="false" outlineLevel="0" collapsed="false">
      <c r="A10" s="2" t="s">
        <v>181</v>
      </c>
      <c r="B10" s="19" t="n">
        <f aca="false">B9*IF($B$3="CA",Assumptions!$C$40,Assumptions!$D$40)</f>
        <v>0</v>
      </c>
    </row>
    <row r="11" customFormat="false" ht="15" hidden="false" customHeight="false" outlineLevel="0" collapsed="false">
      <c r="A11" s="2" t="s">
        <v>182</v>
      </c>
      <c r="B11" s="20" t="n">
        <f aca="false">B9-B10</f>
        <v>400</v>
      </c>
    </row>
    <row r="12" customFormat="false" ht="15" hidden="false" customHeight="false" outlineLevel="0" collapsed="false">
      <c r="A12" s="2" t="s">
        <v>183</v>
      </c>
      <c r="B12" s="19" t="n">
        <f aca="false">(B8+B11)*Assumptions!$C$68</f>
        <v>5440</v>
      </c>
    </row>
    <row r="13" customFormat="false" ht="15" hidden="false" customHeight="false" outlineLevel="0" collapsed="false">
      <c r="A13" s="2" t="s">
        <v>184</v>
      </c>
      <c r="B13" s="19" t="n">
        <f aca="false">B7*Assumptions!$C$69</f>
        <v>1500</v>
      </c>
    </row>
    <row r="14" customFormat="false" ht="15" hidden="false" customHeight="false" outlineLevel="0" collapsed="false">
      <c r="A14" s="2" t="s">
        <v>164</v>
      </c>
      <c r="B14" s="19" t="n">
        <f aca="false">IF($B$2="A",Assumptions!$C$84,IF($B$2="B",Assumptions!$D$84,Assumptions!$E$84))*$B$6</f>
        <v>800</v>
      </c>
    </row>
    <row r="15" customFormat="false" ht="15" hidden="false" customHeight="false" outlineLevel="0" collapsed="false">
      <c r="A15" s="2" t="s">
        <v>185</v>
      </c>
      <c r="B15" s="19" t="n">
        <f aca="false">B14*IF($B$2="A",Assumptions!$C$85,IF($B$2="B",Assumptions!$D$85,Assumptions!$E$85))</f>
        <v>480</v>
      </c>
    </row>
    <row r="16" customFormat="false" ht="15" hidden="false" customHeight="false" outlineLevel="0" collapsed="false">
      <c r="A16" s="2" t="s">
        <v>186</v>
      </c>
      <c r="B16" s="20" t="n">
        <f aca="false">B14-B15</f>
        <v>320</v>
      </c>
    </row>
    <row r="17" customFormat="false" ht="15" hidden="false" customHeight="false" outlineLevel="0" collapsed="false">
      <c r="A17" s="2" t="s">
        <v>187</v>
      </c>
      <c r="B17" s="19" t="n">
        <f aca="false">B15*Assumptions!$C$67+B16*Assumptions!$C$66</f>
        <v>1600</v>
      </c>
    </row>
    <row r="18" customFormat="false" ht="15" hidden="false" customHeight="false" outlineLevel="0" collapsed="false">
      <c r="A18" s="2" t="s">
        <v>188</v>
      </c>
      <c r="B18" s="19" t="n">
        <f aca="false">B15*Assumptions!$C$63+B16*Assumptions!$C$66</f>
        <v>1600</v>
      </c>
    </row>
    <row r="19" customFormat="false" ht="15" hidden="false" customHeight="false" outlineLevel="0" collapsed="false">
      <c r="A19" s="2" t="s">
        <v>189</v>
      </c>
      <c r="B19" s="19" t="n">
        <f aca="false">MAX(0,B17-IF($B$3="CA",Assumptions!$C$39,Assumptions!$D$39)*B6)</f>
        <v>600</v>
      </c>
    </row>
    <row r="20" customFormat="false" ht="15" hidden="false" customHeight="false" outlineLevel="0" collapsed="false">
      <c r="A20" s="2" t="s">
        <v>190</v>
      </c>
      <c r="B20" s="19" t="n">
        <f aca="false">IF($B$2="A",Assumptions!$C$87,IF($B$2="B",Assumptions!$D$87,Assumptions!$E$87))*$B$6</f>
        <v>300</v>
      </c>
    </row>
    <row r="21" customFormat="false" ht="15" hidden="false" customHeight="false" outlineLevel="0" collapsed="false">
      <c r="A21" s="2" t="s">
        <v>191</v>
      </c>
      <c r="B21" s="19" t="n">
        <f aca="false">IF($B$2="A",Assumptions!$C$89,IF($B$2="B",Assumptions!$D$89,Assumptions!$E$89))*$B$6</f>
        <v>1500</v>
      </c>
    </row>
    <row r="22" customFormat="false" ht="15" hidden="false" customHeight="false" outlineLevel="0" collapsed="false">
      <c r="A22" s="2" t="s">
        <v>192</v>
      </c>
      <c r="B22" s="19" t="n">
        <f aca="false">IF($B$2="A",Assumptions!$C$88,IF($B$2="B",Assumptions!$D$88,Assumptions!$E$88))*$B$6</f>
        <v>600</v>
      </c>
    </row>
    <row r="23" customFormat="false" ht="15" hidden="false" customHeight="false" outlineLevel="0" collapsed="false">
      <c r="A23" s="2" t="s">
        <v>193</v>
      </c>
      <c r="B23" s="19" t="n">
        <f aca="false">B22*Assumptions!$C$70</f>
        <v>1800</v>
      </c>
    </row>
    <row r="24" customFormat="false" ht="15" hidden="false" customHeight="false" outlineLevel="0" collapsed="false">
      <c r="A24" s="2" t="s">
        <v>194</v>
      </c>
      <c r="B24" s="19" t="n">
        <f aca="false">B22*Assumptions!$C$71</f>
        <v>2100</v>
      </c>
    </row>
    <row r="25" customFormat="false" ht="15" hidden="false" customHeight="false" outlineLevel="0" collapsed="false">
      <c r="A25" s="2" t="s">
        <v>195</v>
      </c>
      <c r="B25" s="19" t="n">
        <f aca="false">B7/Assumptions!$C$63+B15+B20+B21*Assumptions!$C$65</f>
        <v>1430</v>
      </c>
    </row>
    <row r="26" customFormat="false" ht="15" hidden="false" customHeight="false" outlineLevel="0" collapsed="false">
      <c r="A26" s="2" t="s">
        <v>196</v>
      </c>
      <c r="B26" s="19" t="n">
        <f aca="false">B25*Assumptions!$C$63*Assumptions!$C$64+B16*Assumptions!$C$66*Assumptions!$C$64</f>
        <v>8900</v>
      </c>
    </row>
    <row r="27" customFormat="false" ht="15" hidden="false" customHeight="false" outlineLevel="0" collapsed="false">
      <c r="A27" s="2" t="s">
        <v>197</v>
      </c>
      <c r="B27" s="21" t="n">
        <f aca="false">(B25+B22)*Assumptions!$C$72</f>
        <v>676.666666666667</v>
      </c>
    </row>
    <row r="29" customFormat="false" ht="45" hidden="false" customHeight="true" outlineLevel="0" collapsed="false">
      <c r="A29" s="18" t="s">
        <v>198</v>
      </c>
      <c r="C29" s="22" t="s">
        <v>199</v>
      </c>
      <c r="D29" s="22" t="s">
        <v>200</v>
      </c>
      <c r="E29" s="22" t="s">
        <v>201</v>
      </c>
      <c r="F29" s="22" t="s">
        <v>202</v>
      </c>
      <c r="G29" s="22" t="s">
        <v>203</v>
      </c>
    </row>
    <row r="30" customFormat="false" ht="15" hidden="false" customHeight="false" outlineLevel="0" collapsed="false">
      <c r="A30" s="2" t="s">
        <v>204</v>
      </c>
      <c r="C30" s="23" t="s">
        <v>205</v>
      </c>
      <c r="D30" s="23" t="s">
        <v>206</v>
      </c>
      <c r="E30" s="23" t="s">
        <v>206</v>
      </c>
      <c r="F30" s="23" t="s">
        <v>206</v>
      </c>
      <c r="G30" s="23" t="s">
        <v>205</v>
      </c>
    </row>
    <row r="31" customFormat="false" ht="15" hidden="false" customHeight="false" outlineLevel="0" collapsed="false">
      <c r="A31" s="2" t="s">
        <v>207</v>
      </c>
      <c r="C31" s="23" t="s">
        <v>205</v>
      </c>
      <c r="D31" s="23" t="s">
        <v>208</v>
      </c>
      <c r="E31" s="23" t="s">
        <v>208</v>
      </c>
      <c r="F31" s="23" t="s">
        <v>208</v>
      </c>
      <c r="G31" s="23" t="s">
        <v>205</v>
      </c>
    </row>
    <row r="32" customFormat="false" ht="15" hidden="false" customHeight="false" outlineLevel="0" collapsed="false">
      <c r="A32" s="2" t="s">
        <v>209</v>
      </c>
      <c r="C32" s="23" t="s">
        <v>210</v>
      </c>
      <c r="D32" s="23" t="s">
        <v>211</v>
      </c>
      <c r="E32" s="23" t="s">
        <v>211</v>
      </c>
      <c r="F32" s="23" t="s">
        <v>211</v>
      </c>
      <c r="G32" s="23" t="s">
        <v>210</v>
      </c>
    </row>
    <row r="33" customFormat="false" ht="15" hidden="false" customHeight="false" outlineLevel="0" collapsed="false">
      <c r="A33" s="2" t="s">
        <v>212</v>
      </c>
      <c r="C33" s="23" t="s">
        <v>213</v>
      </c>
      <c r="D33" s="23" t="s">
        <v>214</v>
      </c>
      <c r="E33" s="23" t="s">
        <v>214</v>
      </c>
      <c r="F33" s="23" t="s">
        <v>214</v>
      </c>
      <c r="G33" s="23" t="s">
        <v>213</v>
      </c>
    </row>
    <row r="34" customFormat="false" ht="15" hidden="false" customHeight="false" outlineLevel="0" collapsed="false">
      <c r="A34" s="2" t="s">
        <v>215</v>
      </c>
      <c r="C34" s="23" t="s">
        <v>216</v>
      </c>
      <c r="D34" s="23" t="s">
        <v>216</v>
      </c>
      <c r="E34" s="23" t="s">
        <v>217</v>
      </c>
      <c r="F34" s="23" t="s">
        <v>218</v>
      </c>
      <c r="G34" s="23" t="s">
        <v>216</v>
      </c>
    </row>
    <row r="35" customFormat="false" ht="15" hidden="false" customHeight="false" outlineLevel="0" collapsed="false">
      <c r="A35" s="2" t="s">
        <v>219</v>
      </c>
      <c r="C35" s="23" t="s">
        <v>220</v>
      </c>
      <c r="D35" s="23" t="s">
        <v>221</v>
      </c>
      <c r="E35" s="23" t="s">
        <v>221</v>
      </c>
      <c r="F35" s="23" t="s">
        <v>221</v>
      </c>
      <c r="G35" s="23" t="s">
        <v>222</v>
      </c>
    </row>
    <row r="37" customFormat="false" ht="15" hidden="false" customHeight="false" outlineLevel="0" collapsed="false">
      <c r="A37" s="18" t="s">
        <v>223</v>
      </c>
    </row>
    <row r="38" customFormat="false" ht="15" hidden="false" customHeight="false" outlineLevel="0" collapsed="false">
      <c r="A38" s="2" t="s">
        <v>224</v>
      </c>
      <c r="C38" s="24" t="n">
        <f aca="false">IF(C34="opus",Assumptions!$C$6,IF(C34="sonnet",Assumptions!$C$11,Assumptions!$C$16))*Assumptions!$C$21</f>
        <v>4</v>
      </c>
      <c r="D38" s="24" t="n">
        <f aca="false">IF(D34="opus",Assumptions!$C$6,IF(D34="sonnet",Assumptions!$C$11,Assumptions!$C$16))*Assumptions!$C$21</f>
        <v>4</v>
      </c>
      <c r="E38" s="24" t="n">
        <f aca="false">IF(E34="opus",Assumptions!$C$6,IF(E34="sonnet",Assumptions!$C$11,Assumptions!$C$16))*Assumptions!$C$21</f>
        <v>2</v>
      </c>
      <c r="F38" s="24" t="n">
        <f aca="false">IF(F34="opus",Assumptions!$C$6,IF(F34="sonnet",Assumptions!$C$11,Assumptions!$C$16))*Assumptions!$C$21</f>
        <v>0.1</v>
      </c>
      <c r="G38" s="24" t="n">
        <f aca="false">IF(G34="opus",Assumptions!$C$6,IF(G34="sonnet",Assumptions!$C$11,Assumptions!$C$16))*Assumptions!$C$21</f>
        <v>4</v>
      </c>
    </row>
    <row r="39" customFormat="false" ht="15" hidden="false" customHeight="false" outlineLevel="0" collapsed="false">
      <c r="A39" s="2" t="s">
        <v>225</v>
      </c>
      <c r="C39" s="24" t="n">
        <f aca="false">IF(C34="opus",Assumptions!$C$7,IF(C34="sonnet",Assumptions!$C$12,Assumptions!$C$17))*Assumptions!$C$21</f>
        <v>20</v>
      </c>
      <c r="D39" s="24" t="n">
        <f aca="false">IF(D34="opus",Assumptions!$C$7,IF(D34="sonnet",Assumptions!$C$12,Assumptions!$C$17))*Assumptions!$C$21</f>
        <v>20</v>
      </c>
      <c r="E39" s="24" t="n">
        <f aca="false">IF(E34="opus",Assumptions!$C$7,IF(E34="sonnet",Assumptions!$C$12,Assumptions!$C$17))*Assumptions!$C$21</f>
        <v>10</v>
      </c>
      <c r="F39" s="24" t="n">
        <f aca="false">IF(F34="opus",Assumptions!$C$7,IF(F34="sonnet",Assumptions!$C$12,Assumptions!$C$17))*Assumptions!$C$21</f>
        <v>0.5</v>
      </c>
      <c r="G39" s="24" t="n">
        <f aca="false">IF(G34="opus",Assumptions!$C$7,IF(G34="sonnet",Assumptions!$C$12,Assumptions!$C$17))*Assumptions!$C$21</f>
        <v>20</v>
      </c>
    </row>
    <row r="40" customFormat="false" ht="15" hidden="false" customHeight="false" outlineLevel="0" collapsed="false">
      <c r="A40" s="2" t="s">
        <v>226</v>
      </c>
      <c r="C40" s="24" t="n">
        <f aca="false">IF(C34="opus",Assumptions!$C$8,IF(C34="sonnet",Assumptions!$C$13,Assumptions!$C$18))*Assumptions!$C$21</f>
        <v>0.2</v>
      </c>
      <c r="D40" s="24" t="n">
        <f aca="false">IF(D34="opus",Assumptions!$C$8,IF(D34="sonnet",Assumptions!$C$13,Assumptions!$C$18))*Assumptions!$C$21</f>
        <v>0.2</v>
      </c>
      <c r="E40" s="24" t="n">
        <f aca="false">IF(E34="opus",Assumptions!$C$8,IF(E34="sonnet",Assumptions!$C$13,Assumptions!$C$18))*Assumptions!$C$21</f>
        <v>0.1</v>
      </c>
      <c r="F40" s="24" t="n">
        <f aca="false">IF(F34="opus",Assumptions!$C$8,IF(F34="sonnet",Assumptions!$C$13,Assumptions!$C$18))*Assumptions!$C$21</f>
        <v>0.01</v>
      </c>
      <c r="G40" s="24" t="n">
        <f aca="false">IF(G34="opus",Assumptions!$C$8,IF(G34="sonnet",Assumptions!$C$13,Assumptions!$C$18))*Assumptions!$C$21</f>
        <v>0.2</v>
      </c>
    </row>
    <row r="41" customFormat="false" ht="15" hidden="false" customHeight="false" outlineLevel="0" collapsed="false">
      <c r="A41" s="2" t="s">
        <v>227</v>
      </c>
      <c r="C41" s="24" t="n">
        <f aca="false">IF(C35="5m",IF(C34="opus",Assumptions!$C$9,IF(C34="sonnet",Assumptions!$C$14,Assumptions!$C$19)),IF(C35="1h",IF(C34="opus",Assumptions!$C$10,IF(C34="sonnet",Assumptions!$C$15,Assumptions!$C$20)),0))*Assumptions!$C$21</f>
        <v>5</v>
      </c>
      <c r="D41" s="24" t="n">
        <f aca="false">IF(D35="5m",IF(D34="opus",Assumptions!$C$9,IF(D34="sonnet",Assumptions!$C$14,Assumptions!$C$19)),IF(D35="1h",IF(D34="opus",Assumptions!$C$10,IF(D34="sonnet",Assumptions!$C$15,Assumptions!$C$20)),0))*Assumptions!$C$21</f>
        <v>8</v>
      </c>
      <c r="E41" s="24" t="n">
        <f aca="false">IF(E35="5m",IF(E34="opus",Assumptions!$C$9,IF(E34="sonnet",Assumptions!$C$14,Assumptions!$C$19)),IF(E35="1h",IF(E34="opus",Assumptions!$C$10,IF(E34="sonnet",Assumptions!$C$15,Assumptions!$C$20)),0))*Assumptions!$C$21</f>
        <v>4</v>
      </c>
      <c r="F41" s="24" t="n">
        <f aca="false">IF(F35="5m",IF(F34="opus",Assumptions!$C$9,IF(F34="sonnet",Assumptions!$C$14,Assumptions!$C$19)),IF(F35="1h",IF(F34="opus",Assumptions!$C$10,IF(F34="sonnet",Assumptions!$C$15,Assumptions!$C$20)),0))*Assumptions!$C$21</f>
        <v>0.2</v>
      </c>
      <c r="G41" s="24" t="n">
        <f aca="false">IF(G35="5m",IF(G34="opus",Assumptions!$C$9,IF(G34="sonnet",Assumptions!$C$14,Assumptions!$C$19)),IF(G35="1h",IF(G34="opus",Assumptions!$C$10,IF(G34="sonnet",Assumptions!$C$15,Assumptions!$C$20)),0))*Assumptions!$C$21</f>
        <v>0</v>
      </c>
    </row>
    <row r="42" customFormat="false" ht="15" hidden="false" customHeight="false" outlineLevel="0" collapsed="false">
      <c r="A42" s="2" t="s">
        <v>228</v>
      </c>
      <c r="C42" s="25" t="n">
        <f aca="false">IF(C35="5m",IF($B$2="A",Assumptions!$C$76,IF($B$2="B",Assumptions!$D$76,Assumptions!$E$76)),IF(C35="1h",IF($B$2="A",Assumptions!$C$77,IF($B$2="B",Assumptions!$D$77,Assumptions!$E$77)),1))</f>
        <v>0.15</v>
      </c>
      <c r="D42" s="25" t="n">
        <f aca="false">IF(D35="5m",IF($B$2="A",Assumptions!$C$76,IF($B$2="B",Assumptions!$D$76,Assumptions!$E$76)),IF(D35="1h",IF($B$2="A",Assumptions!$C$77,IF($B$2="B",Assumptions!$D$77,Assumptions!$E$77)),1))</f>
        <v>0.03</v>
      </c>
      <c r="E42" s="25" t="n">
        <f aca="false">IF(E35="5m",IF($B$2="A",Assumptions!$C$76,IF($B$2="B",Assumptions!$D$76,Assumptions!$E$76)),IF(E35="1h",IF($B$2="A",Assumptions!$C$77,IF($B$2="B",Assumptions!$D$77,Assumptions!$E$77)),1))</f>
        <v>0.03</v>
      </c>
      <c r="F42" s="25" t="n">
        <f aca="false">IF(F35="5m",IF($B$2="A",Assumptions!$C$76,IF($B$2="B",Assumptions!$D$76,Assumptions!$E$76)),IF(F35="1h",IF($B$2="A",Assumptions!$C$77,IF($B$2="B",Assumptions!$D$77,Assumptions!$E$77)),1))</f>
        <v>0.03</v>
      </c>
      <c r="G42" s="25" t="n">
        <f aca="false">IF(G35="5m",IF($B$2="A",Assumptions!$C$76,IF($B$2="B",Assumptions!$D$76,Assumptions!$E$76)),IF(G35="1h",IF($B$2="A",Assumptions!$C$77,IF($B$2="B",Assumptions!$D$77,Assumptions!$E$77)),1))</f>
        <v>1</v>
      </c>
    </row>
    <row r="43" customFormat="false" ht="15" hidden="false" customHeight="false" outlineLevel="0" collapsed="false">
      <c r="A43" s="2" t="s">
        <v>229</v>
      </c>
      <c r="C43" s="24" t="n">
        <f aca="false">IF(C35="none",Assumptions!$C$58*C38,Assumptions!$C$58*(C42*C41+(1-C42)*C40))/1000000</f>
        <v>0.00266432</v>
      </c>
      <c r="D43" s="24" t="n">
        <f aca="false">IF(D35="none",Assumptions!$C$58*D38,Assumptions!$C$58*(D42*D41+(1-D42)*D40))/1000000</f>
        <v>0.001256864</v>
      </c>
      <c r="E43" s="24" t="n">
        <f aca="false">IF(E35="none",Assumptions!$C$58*E38,Assumptions!$C$58*(E42*E41+(1-E42)*E40))/1000000</f>
        <v>0.000628432</v>
      </c>
      <c r="F43" s="24" t="n">
        <f aca="false">IF(F35="none",Assumptions!$C$58*F38,Assumptions!$C$58*(F42*F41+(1-F42)*F40))/1000000</f>
        <v>4.54672E-005</v>
      </c>
      <c r="G43" s="24" t="n">
        <f aca="false">IF(G35="none",Assumptions!$C$58*G38,Assumptions!$C$58*(G42*G41+(1-G42)*G40))/1000000</f>
        <v>0.011584</v>
      </c>
    </row>
    <row r="44" customFormat="false" ht="15" hidden="false" customHeight="false" outlineLevel="0" collapsed="false">
      <c r="A44" s="2" t="s">
        <v>230</v>
      </c>
      <c r="C44" s="24" t="n">
        <f aca="false">(Assumptions!$C$59+Assumptions!$C$60+Assumptions!$C$61)*C38/1000000</f>
        <v>0.00202</v>
      </c>
      <c r="D44" s="24" t="n">
        <f aca="false">(Assumptions!$C$59+Assumptions!$C$60+Assumptions!$C$61)*D38/1000000</f>
        <v>0.00202</v>
      </c>
      <c r="E44" s="24" t="n">
        <f aca="false">(Assumptions!$C$59+Assumptions!$C$60+Assumptions!$C$61)*E38/1000000</f>
        <v>0.00101</v>
      </c>
      <c r="F44" s="24" t="n">
        <f aca="false">(Assumptions!$C$59+Assumptions!$C$60+Assumptions!$C$61)*F38/1000000</f>
        <v>5.05E-005</v>
      </c>
      <c r="G44" s="24" t="n">
        <f aca="false">(Assumptions!$C$59+Assumptions!$C$60+Assumptions!$C$61)*G38/1000000</f>
        <v>0.00202</v>
      </c>
    </row>
    <row r="45" customFormat="false" ht="15" hidden="false" customHeight="false" outlineLevel="0" collapsed="false">
      <c r="A45" s="2" t="s">
        <v>231</v>
      </c>
      <c r="C45" s="24" t="n">
        <f aca="false">Assumptions!$C$62*C39/1000000</f>
        <v>0.0028</v>
      </c>
      <c r="D45" s="24" t="n">
        <f aca="false">Assumptions!$C$62*D39/1000000</f>
        <v>0.0028</v>
      </c>
      <c r="E45" s="24" t="n">
        <f aca="false">Assumptions!$C$62*E39/1000000</f>
        <v>0.0014</v>
      </c>
      <c r="F45" s="24" t="n">
        <f aca="false">Assumptions!$C$62*F39/1000000</f>
        <v>7E-005</v>
      </c>
      <c r="G45" s="24" t="n">
        <f aca="false">Assumptions!$C$62*G39/1000000</f>
        <v>0.0028</v>
      </c>
    </row>
    <row r="46" customFormat="false" ht="15" hidden="false" customHeight="false" outlineLevel="0" collapsed="false">
      <c r="A46" s="2" t="s">
        <v>232</v>
      </c>
      <c r="C46" s="24" t="n">
        <f aca="false">C43+C44+C45</f>
        <v>0.00748432</v>
      </c>
      <c r="D46" s="24" t="n">
        <f aca="false">D43+D44+D45</f>
        <v>0.006076864</v>
      </c>
      <c r="E46" s="24" t="n">
        <f aca="false">E43+E44+E45</f>
        <v>0.003038432</v>
      </c>
      <c r="F46" s="24" t="n">
        <f aca="false">F43+F44+F45</f>
        <v>0.0001659672</v>
      </c>
      <c r="G46" s="24" t="n">
        <f aca="false">G43+G44+G45</f>
        <v>0.016404</v>
      </c>
    </row>
    <row r="47" customFormat="false" ht="15" hidden="false" customHeight="false" outlineLevel="0" collapsed="false">
      <c r="A47" s="2" t="s">
        <v>233</v>
      </c>
      <c r="C47" s="24" t="n">
        <f aca="false">C46*Assumptions!$C$63*Assumptions!$C$64</f>
        <v>0.04490592</v>
      </c>
      <c r="D47" s="24" t="n">
        <f aca="false">D46*Assumptions!$C$63*Assumptions!$C$64</f>
        <v>0.036461184</v>
      </c>
      <c r="E47" s="24" t="n">
        <f aca="false">E46*Assumptions!$C$63*Assumptions!$C$64</f>
        <v>0.018230592</v>
      </c>
      <c r="F47" s="24" t="n">
        <f aca="false">F46*Assumptions!$C$63*Assumptions!$C$64</f>
        <v>0.0009958032</v>
      </c>
      <c r="G47" s="24" t="n">
        <f aca="false">G46*Assumptions!$C$63*Assumptions!$C$64</f>
        <v>0.098424</v>
      </c>
    </row>
    <row r="49" customFormat="false" ht="15" hidden="false" customHeight="false" outlineLevel="0" collapsed="false">
      <c r="A49" s="18" t="s">
        <v>234</v>
      </c>
    </row>
    <row r="50" customFormat="false" ht="15" hidden="false" customHeight="false" outlineLevel="0" collapsed="false">
      <c r="A50" s="2" t="s">
        <v>235</v>
      </c>
      <c r="C50" s="26" t="n">
        <f aca="false">IF(C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84.238</v>
      </c>
      <c r="D50" s="26" t="n">
        <f aca="false">IF(D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54.396</v>
      </c>
      <c r="E50" s="26" t="n">
        <f aca="false">IF(E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54.396</v>
      </c>
      <c r="F50" s="26" t="n">
        <f aca="false">IF(F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54.396</v>
      </c>
      <c r="G50" s="26" t="n">
        <f aca="false">IF(G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84.238</v>
      </c>
    </row>
    <row r="51" customFormat="false" ht="15" hidden="false" customHeight="false" outlineLevel="0" collapsed="false">
      <c r="A51" s="2" t="s">
        <v>236</v>
      </c>
      <c r="C51" s="26" t="n">
        <f aca="false">$B$6*((IF($B$3="CA",Assumptions!$C$30,Assumptions!$D$30)+IF($B$3="CA",Assumptions!$C$31,Assumptions!$D$31))/Assumptions!$C$34+IF(C$30="Twilio",IF($B$3="CA",Assumptions!$C$32,Assumptions!$D$32),IF($B$3="CA",Assumptions!$C$33,Assumptions!$D$33)))</f>
        <v>3.125</v>
      </c>
      <c r="D51" s="26" t="n">
        <f aca="false">$B$6*((IF($B$3="CA",Assumptions!$C$30,Assumptions!$D$30)+IF($B$3="CA",Assumptions!$C$31,Assumptions!$D$31))/Assumptions!$C$34+IF(D$30="Twilio",IF($B$3="CA",Assumptions!$C$32,Assumptions!$D$32),IF($B$3="CA",Assumptions!$C$33,Assumptions!$D$33)))</f>
        <v>3.625</v>
      </c>
      <c r="E51" s="26" t="n">
        <f aca="false">$B$6*((IF($B$3="CA",Assumptions!$C$30,Assumptions!$D$30)+IF($B$3="CA",Assumptions!$C$31,Assumptions!$D$31))/Assumptions!$C$34+IF(E$30="Twilio",IF($B$3="CA",Assumptions!$C$32,Assumptions!$D$32),IF($B$3="CA",Assumptions!$C$33,Assumptions!$D$33)))</f>
        <v>3.625</v>
      </c>
      <c r="F51" s="26" t="n">
        <f aca="false">$B$6*((IF($B$3="CA",Assumptions!$C$30,Assumptions!$D$30)+IF($B$3="CA",Assumptions!$C$31,Assumptions!$D$31))/Assumptions!$C$34+IF(F$30="Twilio",IF($B$3="CA",Assumptions!$C$32,Assumptions!$D$32),IF($B$3="CA",Assumptions!$C$33,Assumptions!$D$33)))</f>
        <v>3.625</v>
      </c>
      <c r="G51" s="26" t="n">
        <f aca="false">$B$6*((IF($B$3="CA",Assumptions!$C$30,Assumptions!$D$30)+IF($B$3="CA",Assumptions!$C$31,Assumptions!$D$31))/Assumptions!$C$34+IF(G$30="Twilio",IF($B$3="CA",Assumptions!$C$32,Assumptions!$D$32),IF($B$3="CA",Assumptions!$C$33,Assumptions!$D$33)))</f>
        <v>3.125</v>
      </c>
    </row>
    <row r="52" customFormat="false" ht="15" hidden="false" customHeight="false" outlineLevel="0" collapsed="false">
      <c r="A52" s="2" t="s">
        <v>237</v>
      </c>
      <c r="C52" s="26" t="n">
        <f aca="false">$B$6*IF(C$30="Twilio",IF($B$3="CA",Assumptions!$C$28,Assumptions!$D$28),IF($B$3="CA",Assumptions!$C$29,Assumptions!$D$29))</f>
        <v>1.15</v>
      </c>
      <c r="D52" s="26" t="n">
        <f aca="false">$B$6*IF(D$30="Twilio",IF($B$3="CA",Assumptions!$C$28,Assumptions!$D$28),IF($B$3="CA",Assumptions!$C$29,Assumptions!$D$29))</f>
        <v>1.1</v>
      </c>
      <c r="E52" s="26" t="n">
        <f aca="false">$B$6*IF(E$30="Twilio",IF($B$3="CA",Assumptions!$C$28,Assumptions!$D$28),IF($B$3="CA",Assumptions!$C$29,Assumptions!$D$29))</f>
        <v>1.1</v>
      </c>
      <c r="F52" s="26" t="n">
        <f aca="false">$B$6*IF(F$30="Twilio",IF($B$3="CA",Assumptions!$C$28,Assumptions!$D$28),IF($B$3="CA",Assumptions!$C$29,Assumptions!$D$29))</f>
        <v>1.1</v>
      </c>
      <c r="G52" s="26" t="n">
        <f aca="false">$B$6*IF(G$30="Twilio",IF($B$3="CA",Assumptions!$C$28,Assumptions!$D$28),IF($B$3="CA",Assumptions!$C$29,Assumptions!$D$29))</f>
        <v>1.15</v>
      </c>
    </row>
    <row r="53" customFormat="false" ht="15" hidden="false" customHeight="false" outlineLevel="0" collapsed="false">
      <c r="A53" s="2" t="s">
        <v>238</v>
      </c>
      <c r="C53" s="26" t="n">
        <f aca="false">$B$16*IF($B$3="CA",Assumptions!$C$35,Assumptions!$D$35)+$B$10*IF($B$3="CA",Assumptions!$C$37,Assumptions!$D$37)+$B$19*IF($B$3="CA",Assumptions!$C$38,Assumptions!$D$38)</f>
        <v>3.128</v>
      </c>
      <c r="D53" s="26" t="n">
        <f aca="false">$B$16*IF($B$3="CA",Assumptions!$C$35,Assumptions!$D$35)+$B$10*IF($B$3="CA",Assumptions!$C$37,Assumptions!$D$37)+$B$19*IF($B$3="CA",Assumptions!$C$38,Assumptions!$D$38)</f>
        <v>3.128</v>
      </c>
      <c r="E53" s="26" t="n">
        <f aca="false">$B$16*IF($B$3="CA",Assumptions!$C$35,Assumptions!$D$35)+$B$10*IF($B$3="CA",Assumptions!$C$37,Assumptions!$D$37)+$B$19*IF($B$3="CA",Assumptions!$C$38,Assumptions!$D$38)</f>
        <v>3.128</v>
      </c>
      <c r="F53" s="26" t="n">
        <f aca="false">$B$16*IF($B$3="CA",Assumptions!$C$35,Assumptions!$D$35)+$B$10*IF($B$3="CA",Assumptions!$C$37,Assumptions!$D$37)+$B$19*IF($B$3="CA",Assumptions!$C$38,Assumptions!$D$38)</f>
        <v>3.128</v>
      </c>
      <c r="G53" s="26" t="n">
        <f aca="false">$B$16*IF($B$3="CA",Assumptions!$C$35,Assumptions!$D$35)+$B$10*IF($B$3="CA",Assumptions!$C$37,Assumptions!$D$37)+$B$19*IF($B$3="CA",Assumptions!$C$38,Assumptions!$D$38)</f>
        <v>3.128</v>
      </c>
    </row>
    <row r="54" customFormat="false" ht="15" hidden="false" customHeight="false" outlineLevel="0" collapsed="false">
      <c r="A54" s="2" t="s">
        <v>239</v>
      </c>
      <c r="C54" s="26" t="n">
        <f aca="false">IF(C$31="Twilio",($B$16+$B$10+$B$17+$B$18)*IF($B$3="CA",Assumptions!$C$41,Assumptions!$D$41),0)</f>
        <v>17.6</v>
      </c>
      <c r="D54" s="26" t="n">
        <f aca="false">IF(D$31="Twilio",($B$16+$B$10+$B$17+$B$18)*IF($B$3="CA",Assumptions!$C$41,Assumptions!$D$41),0)</f>
        <v>0</v>
      </c>
      <c r="E54" s="26" t="n">
        <f aca="false">IF(E$31="Twilio",($B$16+$B$10+$B$17+$B$18)*IF($B$3="CA",Assumptions!$C$41,Assumptions!$D$41),0)</f>
        <v>0</v>
      </c>
      <c r="F54" s="26" t="n">
        <f aca="false">IF(F$31="Twilio",($B$16+$B$10+$B$17+$B$18)*IF($B$3="CA",Assumptions!$C$41,Assumptions!$D$41),0)</f>
        <v>0</v>
      </c>
      <c r="G54" s="26" t="n">
        <f aca="false">IF(G$31="Twilio",($B$16+$B$10+$B$17+$B$18)*IF($B$3="CA",Assumptions!$C$41,Assumptions!$D$41),0)</f>
        <v>17.6</v>
      </c>
    </row>
    <row r="55" customFormat="false" ht="15" hidden="false" customHeight="false" outlineLevel="0" collapsed="false">
      <c r="A55" s="2" t="s">
        <v>240</v>
      </c>
      <c r="C55" s="26" t="n">
        <f aca="false">$B$20*Assumptions!$C$63*2*IF($B$3="CA",Assumptions!$C$42,Assumptions!$D$42)</f>
        <v>0</v>
      </c>
      <c r="D55" s="26" t="n">
        <f aca="false">$B$20*Assumptions!$C$63*2*IF($B$3="CA",Assumptions!$C$42,Assumptions!$D$42)</f>
        <v>0</v>
      </c>
      <c r="E55" s="26" t="n">
        <f aca="false">$B$20*Assumptions!$C$63*2*IF($B$3="CA",Assumptions!$C$42,Assumptions!$D$42)</f>
        <v>0</v>
      </c>
      <c r="F55" s="26" t="n">
        <f aca="false">$B$20*Assumptions!$C$63*2*IF($B$3="CA",Assumptions!$C$42,Assumptions!$D$42)</f>
        <v>0</v>
      </c>
      <c r="G55" s="26" t="n">
        <f aca="false">$B$20*Assumptions!$C$63*2*IF($B$3="CA",Assumptions!$C$42,Assumptions!$D$42)</f>
        <v>0</v>
      </c>
    </row>
    <row r="56" customFormat="false" ht="15" hidden="false" customHeight="false" outlineLevel="0" collapsed="false">
      <c r="A56" s="2" t="s">
        <v>241</v>
      </c>
      <c r="C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D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E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F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  <c r="G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144</v>
      </c>
    </row>
    <row r="57" customFormat="false" ht="15" hidden="false" customHeight="false" outlineLevel="0" collapsed="false">
      <c r="A57" s="2" t="s">
        <v>242</v>
      </c>
      <c r="C57" s="26" t="n">
        <f aca="false">$B$23*IF($B$3="CA",Assumptions!$C$44,Assumptions!$D$44)</f>
        <v>18</v>
      </c>
      <c r="D57" s="26" t="n">
        <f aca="false">$B$23*IF($B$3="CA",Assumptions!$C$44,Assumptions!$D$44)</f>
        <v>18</v>
      </c>
      <c r="E57" s="26" t="n">
        <f aca="false">$B$23*IF($B$3="CA",Assumptions!$C$44,Assumptions!$D$44)</f>
        <v>18</v>
      </c>
      <c r="F57" s="26" t="n">
        <f aca="false">$B$23*IF($B$3="CA",Assumptions!$C$44,Assumptions!$D$44)</f>
        <v>18</v>
      </c>
      <c r="G57" s="26" t="n">
        <f aca="false">$B$23*IF($B$3="CA",Assumptions!$C$44,Assumptions!$D$44)</f>
        <v>18</v>
      </c>
    </row>
    <row r="58" customFormat="false" ht="15" hidden="false" customHeight="false" outlineLevel="0" collapsed="false">
      <c r="A58" s="2" t="s">
        <v>243</v>
      </c>
      <c r="C58" s="26" t="n">
        <f aca="false">$B$24*IF(C$32="TwilioNative",IF($B$3="CA",Assumptions!$C$45,Assumptions!$D$45),IF(C$32="TwilioSIP",IF($B$3="CA",Assumptions!$C$46,Assumptions!$D$46),IF($B$3="CA",Assumptions!$C$47,Assumptions!$D$47)))</f>
        <v>17.85</v>
      </c>
      <c r="D58" s="26" t="n">
        <f aca="false">$B$24*IF(D$32="TwilioNative",IF($B$3="CA",Assumptions!$C$45,Assumptions!$D$45),IF(D$32="TwilioSIP",IF($B$3="CA",Assumptions!$C$46,Assumptions!$D$46),IF($B$3="CA",Assumptions!$C$47,Assumptions!$D$47)))</f>
        <v>6.72</v>
      </c>
      <c r="E58" s="26" t="n">
        <f aca="false">$B$24*IF(E$32="TwilioNative",IF($B$3="CA",Assumptions!$C$45,Assumptions!$D$45),IF(E$32="TwilioSIP",IF($B$3="CA",Assumptions!$C$46,Assumptions!$D$46),IF($B$3="CA",Assumptions!$C$47,Assumptions!$D$47)))</f>
        <v>6.72</v>
      </c>
      <c r="F58" s="26" t="n">
        <f aca="false">$B$24*IF(F$32="TwilioNative",IF($B$3="CA",Assumptions!$C$45,Assumptions!$D$45),IF(F$32="TwilioSIP",IF($B$3="CA",Assumptions!$C$46,Assumptions!$D$46),IF($B$3="CA",Assumptions!$C$47,Assumptions!$D$47)))</f>
        <v>6.72</v>
      </c>
      <c r="G58" s="26" t="n">
        <f aca="false">$B$24*IF(G$32="TwilioNative",IF($B$3="CA",Assumptions!$C$45,Assumptions!$D$45),IF(G$32="TwilioSIP",IF($B$3="CA",Assumptions!$C$46,Assumptions!$D$46),IF($B$3="CA",Assumptions!$C$47,Assumptions!$D$47)))</f>
        <v>17.85</v>
      </c>
    </row>
    <row r="59" customFormat="false" ht="15" hidden="false" customHeight="false" outlineLevel="0" collapsed="false">
      <c r="A59" s="2" t="s">
        <v>244</v>
      </c>
      <c r="C59" s="26" t="n">
        <f aca="false">$B$26*C46</f>
        <v>66.610448</v>
      </c>
      <c r="D59" s="26" t="n">
        <f aca="false">$B$26*D46</f>
        <v>54.0840896</v>
      </c>
      <c r="E59" s="26" t="n">
        <f aca="false">$B$26*E46</f>
        <v>27.0420448</v>
      </c>
      <c r="F59" s="26" t="n">
        <f aca="false">$B$26*F46</f>
        <v>1.47710808</v>
      </c>
      <c r="G59" s="26" t="n">
        <f aca="false">$B$26*G46</f>
        <v>145.9956</v>
      </c>
    </row>
    <row r="60" customFormat="false" ht="15" hidden="false" customHeight="false" outlineLevel="0" collapsed="false">
      <c r="A60" s="2" t="s">
        <v>245</v>
      </c>
      <c r="C60" s="26" t="n">
        <f aca="false">IF($B$2="C",IF(C$33="SendGrid",IF($B$3="CA",Assumptions!$C$54,Assumptions!$D$54),IF($B$3="CA",Assumptions!$C$53,Assumptions!$D$53)),IF(OR(C$33="SendGrid"),IF($B$3="CA",Assumptions!$C$49,Assumptions!$D$49),IF(OR(C$33="Postmark",AND(C$33="Best",$B$3="CA")),IF($B$3="CA",Assumptions!$C$50,Assumptions!$D$50),IF($B$21&lt;=IF($B$3="CA",Assumptions!$C$52,Assumptions!$D$52),0,IF($B$3="CA",Assumptions!$C$51,Assumptions!$D$51)))))</f>
        <v>19.95</v>
      </c>
      <c r="D60" s="26" t="n">
        <f aca="false">IF($B$2="C",IF(D$33="SendGrid",IF($B$3="CA",Assumptions!$C$54,Assumptions!$D$54),IF($B$3="CA",Assumptions!$C$53,Assumptions!$D$53)),IF(OR(D$33="SendGrid"),IF($B$3="CA",Assumptions!$C$49,Assumptions!$D$49),IF(OR(D$33="Postmark",AND(D$33="Best",$B$3="CA")),IF($B$3="CA",Assumptions!$C$50,Assumptions!$D$50),IF($B$21&lt;=IF($B$3="CA",Assumptions!$C$52,Assumptions!$D$52),0,IF($B$3="CA",Assumptions!$C$51,Assumptions!$D$51)))))</f>
        <v>99</v>
      </c>
      <c r="E60" s="26" t="n">
        <f aca="false">IF($B$2="C",IF(E$33="SendGrid",IF($B$3="CA",Assumptions!$C$54,Assumptions!$D$54),IF($B$3="CA",Assumptions!$C$53,Assumptions!$D$53)),IF(OR(E$33="SendGrid"),IF($B$3="CA",Assumptions!$C$49,Assumptions!$D$49),IF(OR(E$33="Postmark",AND(E$33="Best",$B$3="CA")),IF($B$3="CA",Assumptions!$C$50,Assumptions!$D$50),IF($B$21&lt;=IF($B$3="CA",Assumptions!$C$52,Assumptions!$D$52),0,IF($B$3="CA",Assumptions!$C$51,Assumptions!$D$51)))))</f>
        <v>99</v>
      </c>
      <c r="F60" s="26" t="n">
        <f aca="false">IF($B$2="C",IF(F$33="SendGrid",IF($B$3="CA",Assumptions!$C$54,Assumptions!$D$54),IF($B$3="CA",Assumptions!$C$53,Assumptions!$D$53)),IF(OR(F$33="SendGrid"),IF($B$3="CA",Assumptions!$C$49,Assumptions!$D$49),IF(OR(F$33="Postmark",AND(F$33="Best",$B$3="CA")),IF($B$3="CA",Assumptions!$C$50,Assumptions!$D$50),IF($B$21&lt;=IF($B$3="CA",Assumptions!$C$52,Assumptions!$D$52),0,IF($B$3="CA",Assumptions!$C$51,Assumptions!$D$51)))))</f>
        <v>99</v>
      </c>
      <c r="G60" s="26" t="n">
        <f aca="false">IF($B$2="C",IF(G$33="SendGrid",IF($B$3="CA",Assumptions!$C$54,Assumptions!$D$54),IF($B$3="CA",Assumptions!$C$53,Assumptions!$D$53)),IF(OR(G$33="SendGrid"),IF($B$3="CA",Assumptions!$C$49,Assumptions!$D$49),IF(OR(G$33="Postmark",AND(G$33="Best",$B$3="CA")),IF($B$3="CA",Assumptions!$C$50,Assumptions!$D$50),IF($B$21&lt;=IF($B$3="CA",Assumptions!$C$52,Assumptions!$D$52),0,IF($B$3="CA",Assumptions!$C$51,Assumptions!$D$51)))))</f>
        <v>19.95</v>
      </c>
    </row>
    <row r="61" customFormat="false" ht="15" hidden="false" customHeight="false" outlineLevel="0" collapsed="false">
      <c r="A61" s="18" t="s">
        <v>246</v>
      </c>
      <c r="C61" s="27" t="n">
        <f aca="false">SUM(C50:C60)</f>
        <v>375.651448</v>
      </c>
      <c r="D61" s="27" t="n">
        <f aca="false">SUM(D50:D60)</f>
        <v>384.0530896</v>
      </c>
      <c r="E61" s="27" t="n">
        <f aca="false">SUM(E50:E60)</f>
        <v>357.0110448</v>
      </c>
      <c r="F61" s="27" t="n">
        <f aca="false">SUM(F50:F60)</f>
        <v>331.44610808</v>
      </c>
      <c r="G61" s="27" t="n">
        <f aca="false">SUM(G50:G60)</f>
        <v>455.0366</v>
      </c>
    </row>
    <row r="62" customFormat="false" ht="15" hidden="false" customHeight="false" outlineLevel="0" collapsed="false">
      <c r="A62" s="2" t="s">
        <v>247</v>
      </c>
      <c r="C62" s="26" t="n">
        <f aca="false">C61/$B$6</f>
        <v>375.651448</v>
      </c>
      <c r="D62" s="26" t="n">
        <f aca="false">D61/$B$6</f>
        <v>384.0530896</v>
      </c>
      <c r="E62" s="26" t="n">
        <f aca="false">E61/$B$6</f>
        <v>357.0110448</v>
      </c>
      <c r="F62" s="26" t="n">
        <f aca="false">F61/$B$6</f>
        <v>331.44610808</v>
      </c>
      <c r="G62" s="26" t="n">
        <f aca="false">G61/$B$6</f>
        <v>455.0366</v>
      </c>
    </row>
    <row r="63" customFormat="false" ht="15" hidden="false" customHeight="false" outlineLevel="0" collapsed="false">
      <c r="A63" s="2" t="s">
        <v>248</v>
      </c>
      <c r="C63" s="26" t="n">
        <f aca="false">IF($B$27=0,0,C61/$B$27)</f>
        <v>0.555149923152709</v>
      </c>
      <c r="D63" s="26" t="n">
        <f aca="false">IF($B$27=0,0,D61/$B$27)</f>
        <v>0.56756614226601</v>
      </c>
      <c r="E63" s="26" t="n">
        <f aca="false">IF($B$27=0,0,E61/$B$27)</f>
        <v>0.527602529261084</v>
      </c>
      <c r="F63" s="26" t="n">
        <f aca="false">IF($B$27=0,0,F61/$B$27)</f>
        <v>0.489821834600985</v>
      </c>
      <c r="G63" s="26" t="n">
        <f aca="false">IF($B$27=0,0,G61/$B$27)</f>
        <v>0.672467881773399</v>
      </c>
    </row>
    <row r="64" customFormat="false" ht="15" hidden="false" customHeight="false" outlineLevel="0" collapsed="false">
      <c r="A64" s="2" t="s">
        <v>249</v>
      </c>
      <c r="C64" s="25" t="n">
        <f aca="false">IF(C61=0,0,SUM(C56:C58)/C61)</f>
        <v>0.478768286286494</v>
      </c>
      <c r="D64" s="25" t="n">
        <f aca="false">IF(D61=0,0,SUM(D56:D58)/D61)</f>
        <v>0.439314262972668</v>
      </c>
      <c r="E64" s="25" t="n">
        <f aca="false">IF(E61=0,0,SUM(E56:E58)/E61)</f>
        <v>0.472590421101728</v>
      </c>
      <c r="F64" s="25" t="n">
        <f aca="false">IF(F61=0,0,SUM(F56:F58)/F61)</f>
        <v>0.509042030927322</v>
      </c>
      <c r="G64" s="25" t="n">
        <f aca="false">IF(G61=0,0,SUM(G56:G58)/G61)</f>
        <v>0.395242932107</v>
      </c>
    </row>
    <row r="65" customFormat="false" ht="15" hidden="false" customHeight="false" outlineLevel="0" collapsed="false">
      <c r="A65" s="2" t="s">
        <v>250</v>
      </c>
      <c r="C65" s="25" t="n">
        <f aca="false">IF(C61=0,0,C59/C61)</f>
        <v>0.177319822283768</v>
      </c>
      <c r="D65" s="25" t="n">
        <f aca="false">IF(D61=0,0,D59/D61)</f>
        <v>0.140824513757538</v>
      </c>
      <c r="E65" s="25" t="n">
        <f aca="false">IF(E61=0,0,E59/E61)</f>
        <v>0.075745681243977</v>
      </c>
      <c r="F65" s="25" t="n">
        <f aca="false">IF(F61=0,0,F59/F61)</f>
        <v>0.00445655581402536</v>
      </c>
      <c r="G65" s="25" t="n">
        <f aca="false">IF(G61=0,0,G59/G61)</f>
        <v>0.320843642027916</v>
      </c>
    </row>
    <row r="67" customFormat="false" ht="15" hidden="false" customHeight="false" outlineLevel="0" collapsed="false">
      <c r="A67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20"/>
  </cols>
  <sheetData>
    <row r="1" customFormat="false" ht="16.1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175</v>
      </c>
      <c r="B2" s="17" t="s">
        <v>257</v>
      </c>
    </row>
    <row r="3" customFormat="false" ht="15" hidden="false" customHeight="false" outlineLevel="0" collapsed="false">
      <c r="A3" s="2" t="s">
        <v>177</v>
      </c>
      <c r="B3" s="17" t="s">
        <v>178</v>
      </c>
    </row>
    <row r="5" customFormat="false" ht="15" hidden="false" customHeight="false" outlineLevel="0" collapsed="false">
      <c r="A5" s="18" t="s">
        <v>179</v>
      </c>
    </row>
    <row r="6" customFormat="false" ht="15" hidden="false" customHeight="false" outlineLevel="0" collapsed="false">
      <c r="A6" s="2" t="s">
        <v>159</v>
      </c>
      <c r="B6" s="19" t="n">
        <f aca="false">IF($B$2="A",Assumptions!$C$81,IF($B$2="B",Assumptions!$D$81,Assumptions!$E$81))</f>
        <v>50</v>
      </c>
    </row>
    <row r="7" customFormat="false" ht="15" hidden="false" customHeight="false" outlineLevel="0" collapsed="false">
      <c r="A7" s="2" t="s">
        <v>162</v>
      </c>
      <c r="B7" s="19" t="n">
        <f aca="false">IF($B$2="A",Assumptions!$C$82,IF($B$2="B",Assumptions!$D$82,Assumptions!$E$82))*$B$6</f>
        <v>75000</v>
      </c>
    </row>
    <row r="8" customFormat="false" ht="15" hidden="false" customHeight="false" outlineLevel="0" collapsed="false">
      <c r="A8" s="2" t="s">
        <v>180</v>
      </c>
      <c r="B8" s="19" t="n">
        <f aca="false">IF($B$2="A",Assumptions!$C$83,IF($B$2="B",Assumptions!$D$83,Assumptions!$E$83))*$B$6</f>
        <v>150000</v>
      </c>
    </row>
    <row r="9" customFormat="false" ht="15" hidden="false" customHeight="false" outlineLevel="0" collapsed="false">
      <c r="A9" s="2" t="s">
        <v>167</v>
      </c>
      <c r="B9" s="19" t="n">
        <f aca="false">IF($B$2="A",Assumptions!$C$86,IF($B$2="B",Assumptions!$D$86,Assumptions!$E$86))*$B$6</f>
        <v>20000</v>
      </c>
    </row>
    <row r="10" customFormat="false" ht="15" hidden="false" customHeight="false" outlineLevel="0" collapsed="false">
      <c r="A10" s="2" t="s">
        <v>181</v>
      </c>
      <c r="B10" s="19" t="n">
        <f aca="false">B9*IF($B$3="CA",Assumptions!$C$40,Assumptions!$D$40)</f>
        <v>20000</v>
      </c>
    </row>
    <row r="11" customFormat="false" ht="15" hidden="false" customHeight="false" outlineLevel="0" collapsed="false">
      <c r="A11" s="2" t="s">
        <v>182</v>
      </c>
      <c r="B11" s="20" t="n">
        <f aca="false">B9-B10</f>
        <v>0</v>
      </c>
    </row>
    <row r="12" customFormat="false" ht="15" hidden="false" customHeight="false" outlineLevel="0" collapsed="false">
      <c r="A12" s="2" t="s">
        <v>183</v>
      </c>
      <c r="B12" s="19" t="n">
        <f aca="false">(B8+B11)*Assumptions!$C$68</f>
        <v>240000</v>
      </c>
    </row>
    <row r="13" customFormat="false" ht="15" hidden="false" customHeight="false" outlineLevel="0" collapsed="false">
      <c r="A13" s="2" t="s">
        <v>184</v>
      </c>
      <c r="B13" s="19" t="n">
        <f aca="false">B7*Assumptions!$C$69</f>
        <v>75000</v>
      </c>
    </row>
    <row r="14" customFormat="false" ht="15" hidden="false" customHeight="false" outlineLevel="0" collapsed="false">
      <c r="A14" s="2" t="s">
        <v>164</v>
      </c>
      <c r="B14" s="19" t="n">
        <f aca="false">IF($B$2="A",Assumptions!$C$84,IF($B$2="B",Assumptions!$D$84,Assumptions!$E$84))*$B$6</f>
        <v>40000</v>
      </c>
    </row>
    <row r="15" customFormat="false" ht="15" hidden="false" customHeight="false" outlineLevel="0" collapsed="false">
      <c r="A15" s="2" t="s">
        <v>185</v>
      </c>
      <c r="B15" s="19" t="n">
        <f aca="false">B14*IF($B$2="A",Assumptions!$C$85,IF($B$2="B",Assumptions!$D$85,Assumptions!$E$85))</f>
        <v>24000</v>
      </c>
    </row>
    <row r="16" customFormat="false" ht="15" hidden="false" customHeight="false" outlineLevel="0" collapsed="false">
      <c r="A16" s="2" t="s">
        <v>186</v>
      </c>
      <c r="B16" s="20" t="n">
        <f aca="false">B14-B15</f>
        <v>16000</v>
      </c>
    </row>
    <row r="17" customFormat="false" ht="15" hidden="false" customHeight="false" outlineLevel="0" collapsed="false">
      <c r="A17" s="2" t="s">
        <v>187</v>
      </c>
      <c r="B17" s="19" t="n">
        <f aca="false">B15*Assumptions!$C$67+B16*Assumptions!$C$66</f>
        <v>80000</v>
      </c>
    </row>
    <row r="18" customFormat="false" ht="15" hidden="false" customHeight="false" outlineLevel="0" collapsed="false">
      <c r="A18" s="2" t="s">
        <v>188</v>
      </c>
      <c r="B18" s="19" t="n">
        <f aca="false">B15*Assumptions!$C$63+B16*Assumptions!$C$66</f>
        <v>80000</v>
      </c>
    </row>
    <row r="19" customFormat="false" ht="15" hidden="false" customHeight="false" outlineLevel="0" collapsed="false">
      <c r="A19" s="2" t="s">
        <v>189</v>
      </c>
      <c r="B19" s="19" t="n">
        <f aca="false">MAX(0,B17-IF($B$3="CA",Assumptions!$C$39,Assumptions!$D$39)*B6)</f>
        <v>30000</v>
      </c>
    </row>
    <row r="20" customFormat="false" ht="15" hidden="false" customHeight="false" outlineLevel="0" collapsed="false">
      <c r="A20" s="2" t="s">
        <v>190</v>
      </c>
      <c r="B20" s="19" t="n">
        <f aca="false">IF($B$2="A",Assumptions!$C$87,IF($B$2="B",Assumptions!$D$87,Assumptions!$E$87))*$B$6</f>
        <v>15000</v>
      </c>
    </row>
    <row r="21" customFormat="false" ht="15" hidden="false" customHeight="false" outlineLevel="0" collapsed="false">
      <c r="A21" s="2" t="s">
        <v>191</v>
      </c>
      <c r="B21" s="19" t="n">
        <f aca="false">IF($B$2="A",Assumptions!$C$89,IF($B$2="B",Assumptions!$D$89,Assumptions!$E$89))*$B$6</f>
        <v>75000</v>
      </c>
    </row>
    <row r="22" customFormat="false" ht="15" hidden="false" customHeight="false" outlineLevel="0" collapsed="false">
      <c r="A22" s="2" t="s">
        <v>192</v>
      </c>
      <c r="B22" s="19" t="n">
        <f aca="false">IF($B$2="A",Assumptions!$C$88,IF($B$2="B",Assumptions!$D$88,Assumptions!$E$88))*$B$6</f>
        <v>30000</v>
      </c>
    </row>
    <row r="23" customFormat="false" ht="15" hidden="false" customHeight="false" outlineLevel="0" collapsed="false">
      <c r="A23" s="2" t="s">
        <v>193</v>
      </c>
      <c r="B23" s="19" t="n">
        <f aca="false">B22*Assumptions!$C$70</f>
        <v>90000</v>
      </c>
    </row>
    <row r="24" customFormat="false" ht="15" hidden="false" customHeight="false" outlineLevel="0" collapsed="false">
      <c r="A24" s="2" t="s">
        <v>194</v>
      </c>
      <c r="B24" s="19" t="n">
        <f aca="false">B22*Assumptions!$C$71</f>
        <v>105000</v>
      </c>
    </row>
    <row r="25" customFormat="false" ht="15" hidden="false" customHeight="false" outlineLevel="0" collapsed="false">
      <c r="A25" s="2" t="s">
        <v>195</v>
      </c>
      <c r="B25" s="19" t="n">
        <f aca="false">B7/Assumptions!$C$63+B15+B20+B21*Assumptions!$C$65</f>
        <v>71500</v>
      </c>
    </row>
    <row r="26" customFormat="false" ht="15" hidden="false" customHeight="false" outlineLevel="0" collapsed="false">
      <c r="A26" s="2" t="s">
        <v>196</v>
      </c>
      <c r="B26" s="19" t="n">
        <f aca="false">B25*Assumptions!$C$63*Assumptions!$C$64+B16*Assumptions!$C$66*Assumptions!$C$64</f>
        <v>445000</v>
      </c>
    </row>
    <row r="27" customFormat="false" ht="15" hidden="false" customHeight="false" outlineLevel="0" collapsed="false">
      <c r="A27" s="2" t="s">
        <v>197</v>
      </c>
      <c r="B27" s="21" t="n">
        <f aca="false">(B25+B22)*Assumptions!$C$72</f>
        <v>33833.3333333333</v>
      </c>
    </row>
    <row r="29" customFormat="false" ht="45" hidden="false" customHeight="true" outlineLevel="0" collapsed="false">
      <c r="A29" s="18" t="s">
        <v>198</v>
      </c>
      <c r="C29" s="22" t="s">
        <v>199</v>
      </c>
      <c r="D29" s="22" t="s">
        <v>200</v>
      </c>
      <c r="E29" s="22" t="s">
        <v>201</v>
      </c>
      <c r="F29" s="22" t="s">
        <v>202</v>
      </c>
      <c r="G29" s="22" t="s">
        <v>203</v>
      </c>
    </row>
    <row r="30" customFormat="false" ht="15" hidden="false" customHeight="false" outlineLevel="0" collapsed="false">
      <c r="A30" s="2" t="s">
        <v>204</v>
      </c>
      <c r="C30" s="23" t="s">
        <v>205</v>
      </c>
      <c r="D30" s="23" t="s">
        <v>206</v>
      </c>
      <c r="E30" s="23" t="s">
        <v>206</v>
      </c>
      <c r="F30" s="23" t="s">
        <v>206</v>
      </c>
      <c r="G30" s="23" t="s">
        <v>205</v>
      </c>
    </row>
    <row r="31" customFormat="false" ht="15" hidden="false" customHeight="false" outlineLevel="0" collapsed="false">
      <c r="A31" s="2" t="s">
        <v>207</v>
      </c>
      <c r="C31" s="23" t="s">
        <v>205</v>
      </c>
      <c r="D31" s="23" t="s">
        <v>208</v>
      </c>
      <c r="E31" s="23" t="s">
        <v>208</v>
      </c>
      <c r="F31" s="23" t="s">
        <v>208</v>
      </c>
      <c r="G31" s="23" t="s">
        <v>205</v>
      </c>
    </row>
    <row r="32" customFormat="false" ht="15" hidden="false" customHeight="false" outlineLevel="0" collapsed="false">
      <c r="A32" s="2" t="s">
        <v>209</v>
      </c>
      <c r="C32" s="23" t="s">
        <v>210</v>
      </c>
      <c r="D32" s="23" t="s">
        <v>211</v>
      </c>
      <c r="E32" s="23" t="s">
        <v>211</v>
      </c>
      <c r="F32" s="23" t="s">
        <v>211</v>
      </c>
      <c r="G32" s="23" t="s">
        <v>210</v>
      </c>
    </row>
    <row r="33" customFormat="false" ht="15" hidden="false" customHeight="false" outlineLevel="0" collapsed="false">
      <c r="A33" s="2" t="s">
        <v>212</v>
      </c>
      <c r="C33" s="23" t="s">
        <v>213</v>
      </c>
      <c r="D33" s="23" t="s">
        <v>214</v>
      </c>
      <c r="E33" s="23" t="s">
        <v>214</v>
      </c>
      <c r="F33" s="23" t="s">
        <v>214</v>
      </c>
      <c r="G33" s="23" t="s">
        <v>213</v>
      </c>
    </row>
    <row r="34" customFormat="false" ht="15" hidden="false" customHeight="false" outlineLevel="0" collapsed="false">
      <c r="A34" s="2" t="s">
        <v>215</v>
      </c>
      <c r="C34" s="23" t="s">
        <v>216</v>
      </c>
      <c r="D34" s="23" t="s">
        <v>216</v>
      </c>
      <c r="E34" s="23" t="s">
        <v>217</v>
      </c>
      <c r="F34" s="23" t="s">
        <v>218</v>
      </c>
      <c r="G34" s="23" t="s">
        <v>216</v>
      </c>
    </row>
    <row r="35" customFormat="false" ht="15" hidden="false" customHeight="false" outlineLevel="0" collapsed="false">
      <c r="A35" s="2" t="s">
        <v>219</v>
      </c>
      <c r="C35" s="23" t="s">
        <v>220</v>
      </c>
      <c r="D35" s="23" t="s">
        <v>221</v>
      </c>
      <c r="E35" s="23" t="s">
        <v>221</v>
      </c>
      <c r="F35" s="23" t="s">
        <v>221</v>
      </c>
      <c r="G35" s="23" t="s">
        <v>222</v>
      </c>
    </row>
    <row r="37" customFormat="false" ht="15" hidden="false" customHeight="false" outlineLevel="0" collapsed="false">
      <c r="A37" s="18" t="s">
        <v>223</v>
      </c>
    </row>
    <row r="38" customFormat="false" ht="15" hidden="false" customHeight="false" outlineLevel="0" collapsed="false">
      <c r="A38" s="2" t="s">
        <v>224</v>
      </c>
      <c r="C38" s="24" t="n">
        <f aca="false">IF(C34="opus",Assumptions!$C$6,IF(C34="sonnet",Assumptions!$C$11,Assumptions!$C$16))*Assumptions!$C$21</f>
        <v>4</v>
      </c>
      <c r="D38" s="24" t="n">
        <f aca="false">IF(D34="opus",Assumptions!$C$6,IF(D34="sonnet",Assumptions!$C$11,Assumptions!$C$16))*Assumptions!$C$21</f>
        <v>4</v>
      </c>
      <c r="E38" s="24" t="n">
        <f aca="false">IF(E34="opus",Assumptions!$C$6,IF(E34="sonnet",Assumptions!$C$11,Assumptions!$C$16))*Assumptions!$C$21</f>
        <v>2</v>
      </c>
      <c r="F38" s="24" t="n">
        <f aca="false">IF(F34="opus",Assumptions!$C$6,IF(F34="sonnet",Assumptions!$C$11,Assumptions!$C$16))*Assumptions!$C$21</f>
        <v>0.1</v>
      </c>
      <c r="G38" s="24" t="n">
        <f aca="false">IF(G34="opus",Assumptions!$C$6,IF(G34="sonnet",Assumptions!$C$11,Assumptions!$C$16))*Assumptions!$C$21</f>
        <v>4</v>
      </c>
    </row>
    <row r="39" customFormat="false" ht="15" hidden="false" customHeight="false" outlineLevel="0" collapsed="false">
      <c r="A39" s="2" t="s">
        <v>225</v>
      </c>
      <c r="C39" s="24" t="n">
        <f aca="false">IF(C34="opus",Assumptions!$C$7,IF(C34="sonnet",Assumptions!$C$12,Assumptions!$C$17))*Assumptions!$C$21</f>
        <v>20</v>
      </c>
      <c r="D39" s="24" t="n">
        <f aca="false">IF(D34="opus",Assumptions!$C$7,IF(D34="sonnet",Assumptions!$C$12,Assumptions!$C$17))*Assumptions!$C$21</f>
        <v>20</v>
      </c>
      <c r="E39" s="24" t="n">
        <f aca="false">IF(E34="opus",Assumptions!$C$7,IF(E34="sonnet",Assumptions!$C$12,Assumptions!$C$17))*Assumptions!$C$21</f>
        <v>10</v>
      </c>
      <c r="F39" s="24" t="n">
        <f aca="false">IF(F34="opus",Assumptions!$C$7,IF(F34="sonnet",Assumptions!$C$12,Assumptions!$C$17))*Assumptions!$C$21</f>
        <v>0.5</v>
      </c>
      <c r="G39" s="24" t="n">
        <f aca="false">IF(G34="opus",Assumptions!$C$7,IF(G34="sonnet",Assumptions!$C$12,Assumptions!$C$17))*Assumptions!$C$21</f>
        <v>20</v>
      </c>
    </row>
    <row r="40" customFormat="false" ht="15" hidden="false" customHeight="false" outlineLevel="0" collapsed="false">
      <c r="A40" s="2" t="s">
        <v>226</v>
      </c>
      <c r="C40" s="24" t="n">
        <f aca="false">IF(C34="opus",Assumptions!$C$8,IF(C34="sonnet",Assumptions!$C$13,Assumptions!$C$18))*Assumptions!$C$21</f>
        <v>0.2</v>
      </c>
      <c r="D40" s="24" t="n">
        <f aca="false">IF(D34="opus",Assumptions!$C$8,IF(D34="sonnet",Assumptions!$C$13,Assumptions!$C$18))*Assumptions!$C$21</f>
        <v>0.2</v>
      </c>
      <c r="E40" s="24" t="n">
        <f aca="false">IF(E34="opus",Assumptions!$C$8,IF(E34="sonnet",Assumptions!$C$13,Assumptions!$C$18))*Assumptions!$C$21</f>
        <v>0.1</v>
      </c>
      <c r="F40" s="24" t="n">
        <f aca="false">IF(F34="opus",Assumptions!$C$8,IF(F34="sonnet",Assumptions!$C$13,Assumptions!$C$18))*Assumptions!$C$21</f>
        <v>0.01</v>
      </c>
      <c r="G40" s="24" t="n">
        <f aca="false">IF(G34="opus",Assumptions!$C$8,IF(G34="sonnet",Assumptions!$C$13,Assumptions!$C$18))*Assumptions!$C$21</f>
        <v>0.2</v>
      </c>
    </row>
    <row r="41" customFormat="false" ht="15" hidden="false" customHeight="false" outlineLevel="0" collapsed="false">
      <c r="A41" s="2" t="s">
        <v>227</v>
      </c>
      <c r="C41" s="24" t="n">
        <f aca="false">IF(C35="5m",IF(C34="opus",Assumptions!$C$9,IF(C34="sonnet",Assumptions!$C$14,Assumptions!$C$19)),IF(C35="1h",IF(C34="opus",Assumptions!$C$10,IF(C34="sonnet",Assumptions!$C$15,Assumptions!$C$20)),0))*Assumptions!$C$21</f>
        <v>5</v>
      </c>
      <c r="D41" s="24" t="n">
        <f aca="false">IF(D35="5m",IF(D34="opus",Assumptions!$C$9,IF(D34="sonnet",Assumptions!$C$14,Assumptions!$C$19)),IF(D35="1h",IF(D34="opus",Assumptions!$C$10,IF(D34="sonnet",Assumptions!$C$15,Assumptions!$C$20)),0))*Assumptions!$C$21</f>
        <v>8</v>
      </c>
      <c r="E41" s="24" t="n">
        <f aca="false">IF(E35="5m",IF(E34="opus",Assumptions!$C$9,IF(E34="sonnet",Assumptions!$C$14,Assumptions!$C$19)),IF(E35="1h",IF(E34="opus",Assumptions!$C$10,IF(E34="sonnet",Assumptions!$C$15,Assumptions!$C$20)),0))*Assumptions!$C$21</f>
        <v>4</v>
      </c>
      <c r="F41" s="24" t="n">
        <f aca="false">IF(F35="5m",IF(F34="opus",Assumptions!$C$9,IF(F34="sonnet",Assumptions!$C$14,Assumptions!$C$19)),IF(F35="1h",IF(F34="opus",Assumptions!$C$10,IF(F34="sonnet",Assumptions!$C$15,Assumptions!$C$20)),0))*Assumptions!$C$21</f>
        <v>0.2</v>
      </c>
      <c r="G41" s="24" t="n">
        <f aca="false">IF(G35="5m",IF(G34="opus",Assumptions!$C$9,IF(G34="sonnet",Assumptions!$C$14,Assumptions!$C$19)),IF(G35="1h",IF(G34="opus",Assumptions!$C$10,IF(G34="sonnet",Assumptions!$C$15,Assumptions!$C$20)),0))*Assumptions!$C$21</f>
        <v>0</v>
      </c>
    </row>
    <row r="42" customFormat="false" ht="15" hidden="false" customHeight="false" outlineLevel="0" collapsed="false">
      <c r="A42" s="2" t="s">
        <v>228</v>
      </c>
      <c r="C42" s="25" t="n">
        <f aca="false">IF(C35="5m",IF($B$2="A",Assumptions!$C$76,IF($B$2="B",Assumptions!$D$76,Assumptions!$E$76)),IF(C35="1h",IF($B$2="A",Assumptions!$C$77,IF($B$2="B",Assumptions!$D$77,Assumptions!$E$77)),1))</f>
        <v>0.15</v>
      </c>
      <c r="D42" s="25" t="n">
        <f aca="false">IF(D35="5m",IF($B$2="A",Assumptions!$C$76,IF($B$2="B",Assumptions!$D$76,Assumptions!$E$76)),IF(D35="1h",IF($B$2="A",Assumptions!$C$77,IF($B$2="B",Assumptions!$D$77,Assumptions!$E$77)),1))</f>
        <v>0.03</v>
      </c>
      <c r="E42" s="25" t="n">
        <f aca="false">IF(E35="5m",IF($B$2="A",Assumptions!$C$76,IF($B$2="B",Assumptions!$D$76,Assumptions!$E$76)),IF(E35="1h",IF($B$2="A",Assumptions!$C$77,IF($B$2="B",Assumptions!$D$77,Assumptions!$E$77)),1))</f>
        <v>0.03</v>
      </c>
      <c r="F42" s="25" t="n">
        <f aca="false">IF(F35="5m",IF($B$2="A",Assumptions!$C$76,IF($B$2="B",Assumptions!$D$76,Assumptions!$E$76)),IF(F35="1h",IF($B$2="A",Assumptions!$C$77,IF($B$2="B",Assumptions!$D$77,Assumptions!$E$77)),1))</f>
        <v>0.03</v>
      </c>
      <c r="G42" s="25" t="n">
        <f aca="false">IF(G35="5m",IF($B$2="A",Assumptions!$C$76,IF($B$2="B",Assumptions!$D$76,Assumptions!$E$76)),IF(G35="1h",IF($B$2="A",Assumptions!$C$77,IF($B$2="B",Assumptions!$D$77,Assumptions!$E$77)),1))</f>
        <v>1</v>
      </c>
    </row>
    <row r="43" customFormat="false" ht="15" hidden="false" customHeight="false" outlineLevel="0" collapsed="false">
      <c r="A43" s="2" t="s">
        <v>229</v>
      </c>
      <c r="C43" s="24" t="n">
        <f aca="false">IF(C35="none",Assumptions!$C$58*C38,Assumptions!$C$58*(C42*C41+(1-C42)*C40))/1000000</f>
        <v>0.00266432</v>
      </c>
      <c r="D43" s="24" t="n">
        <f aca="false">IF(D35="none",Assumptions!$C$58*D38,Assumptions!$C$58*(D42*D41+(1-D42)*D40))/1000000</f>
        <v>0.001256864</v>
      </c>
      <c r="E43" s="24" t="n">
        <f aca="false">IF(E35="none",Assumptions!$C$58*E38,Assumptions!$C$58*(E42*E41+(1-E42)*E40))/1000000</f>
        <v>0.000628432</v>
      </c>
      <c r="F43" s="24" t="n">
        <f aca="false">IF(F35="none",Assumptions!$C$58*F38,Assumptions!$C$58*(F42*F41+(1-F42)*F40))/1000000</f>
        <v>4.54672E-005</v>
      </c>
      <c r="G43" s="24" t="n">
        <f aca="false">IF(G35="none",Assumptions!$C$58*G38,Assumptions!$C$58*(G42*G41+(1-G42)*G40))/1000000</f>
        <v>0.011584</v>
      </c>
    </row>
    <row r="44" customFormat="false" ht="15" hidden="false" customHeight="false" outlineLevel="0" collapsed="false">
      <c r="A44" s="2" t="s">
        <v>230</v>
      </c>
      <c r="C44" s="24" t="n">
        <f aca="false">(Assumptions!$C$59+Assumptions!$C$60+Assumptions!$C$61)*C38/1000000</f>
        <v>0.00202</v>
      </c>
      <c r="D44" s="24" t="n">
        <f aca="false">(Assumptions!$C$59+Assumptions!$C$60+Assumptions!$C$61)*D38/1000000</f>
        <v>0.00202</v>
      </c>
      <c r="E44" s="24" t="n">
        <f aca="false">(Assumptions!$C$59+Assumptions!$C$60+Assumptions!$C$61)*E38/1000000</f>
        <v>0.00101</v>
      </c>
      <c r="F44" s="24" t="n">
        <f aca="false">(Assumptions!$C$59+Assumptions!$C$60+Assumptions!$C$61)*F38/1000000</f>
        <v>5.05E-005</v>
      </c>
      <c r="G44" s="24" t="n">
        <f aca="false">(Assumptions!$C$59+Assumptions!$C$60+Assumptions!$C$61)*G38/1000000</f>
        <v>0.00202</v>
      </c>
    </row>
    <row r="45" customFormat="false" ht="15" hidden="false" customHeight="false" outlineLevel="0" collapsed="false">
      <c r="A45" s="2" t="s">
        <v>231</v>
      </c>
      <c r="C45" s="24" t="n">
        <f aca="false">Assumptions!$C$62*C39/1000000</f>
        <v>0.0028</v>
      </c>
      <c r="D45" s="24" t="n">
        <f aca="false">Assumptions!$C$62*D39/1000000</f>
        <v>0.0028</v>
      </c>
      <c r="E45" s="24" t="n">
        <f aca="false">Assumptions!$C$62*E39/1000000</f>
        <v>0.0014</v>
      </c>
      <c r="F45" s="24" t="n">
        <f aca="false">Assumptions!$C$62*F39/1000000</f>
        <v>7E-005</v>
      </c>
      <c r="G45" s="24" t="n">
        <f aca="false">Assumptions!$C$62*G39/1000000</f>
        <v>0.0028</v>
      </c>
    </row>
    <row r="46" customFormat="false" ht="15" hidden="false" customHeight="false" outlineLevel="0" collapsed="false">
      <c r="A46" s="2" t="s">
        <v>232</v>
      </c>
      <c r="C46" s="24" t="n">
        <f aca="false">C43+C44+C45</f>
        <v>0.00748432</v>
      </c>
      <c r="D46" s="24" t="n">
        <f aca="false">D43+D44+D45</f>
        <v>0.006076864</v>
      </c>
      <c r="E46" s="24" t="n">
        <f aca="false">E43+E44+E45</f>
        <v>0.003038432</v>
      </c>
      <c r="F46" s="24" t="n">
        <f aca="false">F43+F44+F45</f>
        <v>0.0001659672</v>
      </c>
      <c r="G46" s="24" t="n">
        <f aca="false">G43+G44+G45</f>
        <v>0.016404</v>
      </c>
    </row>
    <row r="47" customFormat="false" ht="15" hidden="false" customHeight="false" outlineLevel="0" collapsed="false">
      <c r="A47" s="2" t="s">
        <v>233</v>
      </c>
      <c r="C47" s="24" t="n">
        <f aca="false">C46*Assumptions!$C$63*Assumptions!$C$64</f>
        <v>0.04490592</v>
      </c>
      <c r="D47" s="24" t="n">
        <f aca="false">D46*Assumptions!$C$63*Assumptions!$C$64</f>
        <v>0.036461184</v>
      </c>
      <c r="E47" s="24" t="n">
        <f aca="false">E46*Assumptions!$C$63*Assumptions!$C$64</f>
        <v>0.018230592</v>
      </c>
      <c r="F47" s="24" t="n">
        <f aca="false">F46*Assumptions!$C$63*Assumptions!$C$64</f>
        <v>0.0009958032</v>
      </c>
      <c r="G47" s="24" t="n">
        <f aca="false">G46*Assumptions!$C$63*Assumptions!$C$64</f>
        <v>0.098424</v>
      </c>
    </row>
    <row r="49" customFormat="false" ht="15" hidden="false" customHeight="false" outlineLevel="0" collapsed="false">
      <c r="A49" s="18" t="s">
        <v>234</v>
      </c>
    </row>
    <row r="50" customFormat="false" ht="15" hidden="false" customHeight="false" outlineLevel="0" collapsed="false">
      <c r="A50" s="2" t="s">
        <v>235</v>
      </c>
      <c r="C50" s="26" t="n">
        <f aca="false">IF(C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4534.5</v>
      </c>
      <c r="D50" s="26" t="n">
        <f aca="false">IF(D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3180</v>
      </c>
      <c r="E50" s="26" t="n">
        <f aca="false">IF(E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3180</v>
      </c>
      <c r="F50" s="26" t="n">
        <f aca="false">IF(F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3180</v>
      </c>
      <c r="G50" s="26" t="n">
        <f aca="false">IF(G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4534.5</v>
      </c>
    </row>
    <row r="51" customFormat="false" ht="15" hidden="false" customHeight="false" outlineLevel="0" collapsed="false">
      <c r="A51" s="2" t="s">
        <v>236</v>
      </c>
      <c r="C51" s="26" t="n">
        <f aca="false">$B$6*((IF($B$3="CA",Assumptions!$C$30,Assumptions!$D$30)+IF($B$3="CA",Assumptions!$C$31,Assumptions!$D$31))/Assumptions!$C$34+IF(C$30="Twilio",IF($B$3="CA",Assumptions!$C$32,Assumptions!$D$32),IF($B$3="CA",Assumptions!$C$33,Assumptions!$D$33)))</f>
        <v>0</v>
      </c>
      <c r="D51" s="26" t="n">
        <f aca="false">$B$6*((IF($B$3="CA",Assumptions!$C$30,Assumptions!$D$30)+IF($B$3="CA",Assumptions!$C$31,Assumptions!$D$31))/Assumptions!$C$34+IF(D$30="Twilio",IF($B$3="CA",Assumptions!$C$32,Assumptions!$D$32),IF($B$3="CA",Assumptions!$C$33,Assumptions!$D$33)))</f>
        <v>0</v>
      </c>
      <c r="E51" s="26" t="n">
        <f aca="false">$B$6*((IF($B$3="CA",Assumptions!$C$30,Assumptions!$D$30)+IF($B$3="CA",Assumptions!$C$31,Assumptions!$D$31))/Assumptions!$C$34+IF(E$30="Twilio",IF($B$3="CA",Assumptions!$C$32,Assumptions!$D$32),IF($B$3="CA",Assumptions!$C$33,Assumptions!$D$33)))</f>
        <v>0</v>
      </c>
      <c r="F51" s="26" t="n">
        <f aca="false">$B$6*((IF($B$3="CA",Assumptions!$C$30,Assumptions!$D$30)+IF($B$3="CA",Assumptions!$C$31,Assumptions!$D$31))/Assumptions!$C$34+IF(F$30="Twilio",IF($B$3="CA",Assumptions!$C$32,Assumptions!$D$32),IF($B$3="CA",Assumptions!$C$33,Assumptions!$D$33)))</f>
        <v>0</v>
      </c>
      <c r="G51" s="26" t="n">
        <f aca="false">$B$6*((IF($B$3="CA",Assumptions!$C$30,Assumptions!$D$30)+IF($B$3="CA",Assumptions!$C$31,Assumptions!$D$31))/Assumptions!$C$34+IF(G$30="Twilio",IF($B$3="CA",Assumptions!$C$32,Assumptions!$D$32),IF($B$3="CA",Assumptions!$C$33,Assumptions!$D$33)))</f>
        <v>0</v>
      </c>
    </row>
    <row r="52" customFormat="false" ht="15" hidden="false" customHeight="false" outlineLevel="0" collapsed="false">
      <c r="A52" s="2" t="s">
        <v>237</v>
      </c>
      <c r="C52" s="26" t="n">
        <f aca="false">$B$6*IF(C$30="Twilio",IF($B$3="CA",Assumptions!$C$28,Assumptions!$D$28),IF($B$3="CA",Assumptions!$C$29,Assumptions!$D$29))</f>
        <v>57.5</v>
      </c>
      <c r="D52" s="26" t="n">
        <f aca="false">$B$6*IF(D$30="Twilio",IF($B$3="CA",Assumptions!$C$28,Assumptions!$D$28),IF($B$3="CA",Assumptions!$C$29,Assumptions!$D$29))</f>
        <v>55</v>
      </c>
      <c r="E52" s="26" t="n">
        <f aca="false">$B$6*IF(E$30="Twilio",IF($B$3="CA",Assumptions!$C$28,Assumptions!$D$28),IF($B$3="CA",Assumptions!$C$29,Assumptions!$D$29))</f>
        <v>55</v>
      </c>
      <c r="F52" s="26" t="n">
        <f aca="false">$B$6*IF(F$30="Twilio",IF($B$3="CA",Assumptions!$C$28,Assumptions!$D$28),IF($B$3="CA",Assumptions!$C$29,Assumptions!$D$29))</f>
        <v>55</v>
      </c>
      <c r="G52" s="26" t="n">
        <f aca="false">$B$6*IF(G$30="Twilio",IF($B$3="CA",Assumptions!$C$28,Assumptions!$D$28),IF($B$3="CA",Assumptions!$C$29,Assumptions!$D$29))</f>
        <v>57.5</v>
      </c>
    </row>
    <row r="53" customFormat="false" ht="15" hidden="false" customHeight="false" outlineLevel="0" collapsed="false">
      <c r="A53" s="2" t="s">
        <v>238</v>
      </c>
      <c r="C53" s="26" t="n">
        <f aca="false">$B$16*IF($B$3="CA",Assumptions!$C$35,Assumptions!$D$35)+$B$10*IF($B$3="CA",Assumptions!$C$37,Assumptions!$D$37)+$B$19*IF($B$3="CA",Assumptions!$C$38,Assumptions!$D$38)</f>
        <v>656.4</v>
      </c>
      <c r="D53" s="26" t="n">
        <f aca="false">$B$16*IF($B$3="CA",Assumptions!$C$35,Assumptions!$D$35)+$B$10*IF($B$3="CA",Assumptions!$C$37,Assumptions!$D$37)+$B$19*IF($B$3="CA",Assumptions!$C$38,Assumptions!$D$38)</f>
        <v>656.4</v>
      </c>
      <c r="E53" s="26" t="n">
        <f aca="false">$B$16*IF($B$3="CA",Assumptions!$C$35,Assumptions!$D$35)+$B$10*IF($B$3="CA",Assumptions!$C$37,Assumptions!$D$37)+$B$19*IF($B$3="CA",Assumptions!$C$38,Assumptions!$D$38)</f>
        <v>656.4</v>
      </c>
      <c r="F53" s="26" t="n">
        <f aca="false">$B$16*IF($B$3="CA",Assumptions!$C$35,Assumptions!$D$35)+$B$10*IF($B$3="CA",Assumptions!$C$37,Assumptions!$D$37)+$B$19*IF($B$3="CA",Assumptions!$C$38,Assumptions!$D$38)</f>
        <v>656.4</v>
      </c>
      <c r="G53" s="26" t="n">
        <f aca="false">$B$16*IF($B$3="CA",Assumptions!$C$35,Assumptions!$D$35)+$B$10*IF($B$3="CA",Assumptions!$C$37,Assumptions!$D$37)+$B$19*IF($B$3="CA",Assumptions!$C$38,Assumptions!$D$38)</f>
        <v>656.4</v>
      </c>
    </row>
    <row r="54" customFormat="false" ht="15" hidden="false" customHeight="false" outlineLevel="0" collapsed="false">
      <c r="A54" s="2" t="s">
        <v>239</v>
      </c>
      <c r="C54" s="26" t="n">
        <f aca="false">IF(C$31="Twilio",($B$16+$B$10+$B$17+$B$18)*IF($B$3="CA",Assumptions!$C$41,Assumptions!$D$41),0)</f>
        <v>980</v>
      </c>
      <c r="D54" s="26" t="n">
        <f aca="false">IF(D$31="Twilio",($B$16+$B$10+$B$17+$B$18)*IF($B$3="CA",Assumptions!$C$41,Assumptions!$D$41),0)</f>
        <v>0</v>
      </c>
      <c r="E54" s="26" t="n">
        <f aca="false">IF(E$31="Twilio",($B$16+$B$10+$B$17+$B$18)*IF($B$3="CA",Assumptions!$C$41,Assumptions!$D$41),0)</f>
        <v>0</v>
      </c>
      <c r="F54" s="26" t="n">
        <f aca="false">IF(F$31="Twilio",($B$16+$B$10+$B$17+$B$18)*IF($B$3="CA",Assumptions!$C$41,Assumptions!$D$41),0)</f>
        <v>0</v>
      </c>
      <c r="G54" s="26" t="n">
        <f aca="false">IF(G$31="Twilio",($B$16+$B$10+$B$17+$B$18)*IF($B$3="CA",Assumptions!$C$41,Assumptions!$D$41),0)</f>
        <v>980</v>
      </c>
    </row>
    <row r="55" customFormat="false" ht="15" hidden="false" customHeight="false" outlineLevel="0" collapsed="false">
      <c r="A55" s="2" t="s">
        <v>240</v>
      </c>
      <c r="C55" s="26" t="n">
        <f aca="false">$B$20*Assumptions!$C$63*2*IF($B$3="CA",Assumptions!$C$42,Assumptions!$D$42)</f>
        <v>0</v>
      </c>
      <c r="D55" s="26" t="n">
        <f aca="false">$B$20*Assumptions!$C$63*2*IF($B$3="CA",Assumptions!$C$42,Assumptions!$D$42)</f>
        <v>0</v>
      </c>
      <c r="E55" s="26" t="n">
        <f aca="false">$B$20*Assumptions!$C$63*2*IF($B$3="CA",Assumptions!$C$42,Assumptions!$D$42)</f>
        <v>0</v>
      </c>
      <c r="F55" s="26" t="n">
        <f aca="false">$B$20*Assumptions!$C$63*2*IF($B$3="CA",Assumptions!$C$42,Assumptions!$D$42)</f>
        <v>0</v>
      </c>
      <c r="G55" s="26" t="n">
        <f aca="false">$B$20*Assumptions!$C$63*2*IF($B$3="CA",Assumptions!$C$42,Assumptions!$D$42)</f>
        <v>0</v>
      </c>
    </row>
    <row r="56" customFormat="false" ht="15" hidden="false" customHeight="false" outlineLevel="0" collapsed="false">
      <c r="A56" s="2" t="s">
        <v>241</v>
      </c>
      <c r="C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D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E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F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G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</row>
    <row r="57" customFormat="false" ht="15" hidden="false" customHeight="false" outlineLevel="0" collapsed="false">
      <c r="A57" s="2" t="s">
        <v>242</v>
      </c>
      <c r="C57" s="26" t="n">
        <f aca="false">$B$23*IF($B$3="CA",Assumptions!$C$44,Assumptions!$D$44)</f>
        <v>900</v>
      </c>
      <c r="D57" s="26" t="n">
        <f aca="false">$B$23*IF($B$3="CA",Assumptions!$C$44,Assumptions!$D$44)</f>
        <v>900</v>
      </c>
      <c r="E57" s="26" t="n">
        <f aca="false">$B$23*IF($B$3="CA",Assumptions!$C$44,Assumptions!$D$44)</f>
        <v>900</v>
      </c>
      <c r="F57" s="26" t="n">
        <f aca="false">$B$23*IF($B$3="CA",Assumptions!$C$44,Assumptions!$D$44)</f>
        <v>900</v>
      </c>
      <c r="G57" s="26" t="n">
        <f aca="false">$B$23*IF($B$3="CA",Assumptions!$C$44,Assumptions!$D$44)</f>
        <v>900</v>
      </c>
    </row>
    <row r="58" customFormat="false" ht="15" hidden="false" customHeight="false" outlineLevel="0" collapsed="false">
      <c r="A58" s="2" t="s">
        <v>243</v>
      </c>
      <c r="C58" s="26" t="n">
        <f aca="false">$B$24*IF(C$32="TwilioNative",IF($B$3="CA",Assumptions!$C$45,Assumptions!$D$45),IF(C$32="TwilioSIP",IF($B$3="CA",Assumptions!$C$46,Assumptions!$D$46),IF($B$3="CA",Assumptions!$C$47,Assumptions!$D$47)))</f>
        <v>892.5</v>
      </c>
      <c r="D58" s="26" t="n">
        <f aca="false">$B$24*IF(D$32="TwilioNative",IF($B$3="CA",Assumptions!$C$45,Assumptions!$D$45),IF(D$32="TwilioSIP",IF($B$3="CA",Assumptions!$C$46,Assumptions!$D$46),IF($B$3="CA",Assumptions!$C$47,Assumptions!$D$47)))</f>
        <v>336</v>
      </c>
      <c r="E58" s="26" t="n">
        <f aca="false">$B$24*IF(E$32="TwilioNative",IF($B$3="CA",Assumptions!$C$45,Assumptions!$D$45),IF(E$32="TwilioSIP",IF($B$3="CA",Assumptions!$C$46,Assumptions!$D$46),IF($B$3="CA",Assumptions!$C$47,Assumptions!$D$47)))</f>
        <v>336</v>
      </c>
      <c r="F58" s="26" t="n">
        <f aca="false">$B$24*IF(F$32="TwilioNative",IF($B$3="CA",Assumptions!$C$45,Assumptions!$D$45),IF(F$32="TwilioSIP",IF($B$3="CA",Assumptions!$C$46,Assumptions!$D$46),IF($B$3="CA",Assumptions!$C$47,Assumptions!$D$47)))</f>
        <v>336</v>
      </c>
      <c r="G58" s="26" t="n">
        <f aca="false">$B$24*IF(G$32="TwilioNative",IF($B$3="CA",Assumptions!$C$45,Assumptions!$D$45),IF(G$32="TwilioSIP",IF($B$3="CA",Assumptions!$C$46,Assumptions!$D$46),IF($B$3="CA",Assumptions!$C$47,Assumptions!$D$47)))</f>
        <v>892.5</v>
      </c>
    </row>
    <row r="59" customFormat="false" ht="15" hidden="false" customHeight="false" outlineLevel="0" collapsed="false">
      <c r="A59" s="2" t="s">
        <v>244</v>
      </c>
      <c r="C59" s="26" t="n">
        <f aca="false">$B$26*C46</f>
        <v>3330.5224</v>
      </c>
      <c r="D59" s="26" t="n">
        <f aca="false">$B$26*D46</f>
        <v>2704.20448</v>
      </c>
      <c r="E59" s="26" t="n">
        <f aca="false">$B$26*E46</f>
        <v>1352.10224</v>
      </c>
      <c r="F59" s="26" t="n">
        <f aca="false">$B$26*F46</f>
        <v>73.855404</v>
      </c>
      <c r="G59" s="26" t="n">
        <f aca="false">$B$26*G46</f>
        <v>7299.78</v>
      </c>
    </row>
    <row r="60" customFormat="false" ht="15" hidden="false" customHeight="false" outlineLevel="0" collapsed="false">
      <c r="A60" s="2" t="s">
        <v>245</v>
      </c>
      <c r="C60" s="26" t="n">
        <f aca="false">IF($B$2="C",IF(C$33="SendGrid",IF($B$3="CA",Assumptions!$C$54,Assumptions!$D$54),IF($B$3="CA",Assumptions!$C$53,Assumptions!$D$53)),IF(OR(C$33="SendGrid"),IF($B$3="CA",Assumptions!$C$49,Assumptions!$D$49),IF(OR(C$33="Postmark",AND(C$33="Best",$B$3="CA")),IF($B$3="CA",Assumptions!$C$50,Assumptions!$D$50),IF($B$21&lt;=IF($B$3="CA",Assumptions!$C$52,Assumptions!$D$52),0,IF($B$3="CA",Assumptions!$C$51,Assumptions!$D$51)))))</f>
        <v>89.95</v>
      </c>
      <c r="D60" s="26" t="n">
        <f aca="false">IF($B$2="C",IF(D$33="SendGrid",IF($B$3="CA",Assumptions!$C$54,Assumptions!$D$54),IF($B$3="CA",Assumptions!$C$53,Assumptions!$D$53)),IF(OR(D$33="SendGrid"),IF($B$3="CA",Assumptions!$C$49,Assumptions!$D$49),IF(OR(D$33="Postmark",AND(D$33="Best",$B$3="CA")),IF($B$3="CA",Assumptions!$C$50,Assumptions!$D$50),IF($B$21&lt;=IF($B$3="CA",Assumptions!$C$52,Assumptions!$D$52),0,IF($B$3="CA",Assumptions!$C$51,Assumptions!$D$51)))))</f>
        <v>93</v>
      </c>
      <c r="E60" s="26" t="n">
        <f aca="false">IF($B$2="C",IF(E$33="SendGrid",IF($B$3="CA",Assumptions!$C$54,Assumptions!$D$54),IF($B$3="CA",Assumptions!$C$53,Assumptions!$D$53)),IF(OR(E$33="SendGrid"),IF($B$3="CA",Assumptions!$C$49,Assumptions!$D$49),IF(OR(E$33="Postmark",AND(E$33="Best",$B$3="CA")),IF($B$3="CA",Assumptions!$C$50,Assumptions!$D$50),IF($B$21&lt;=IF($B$3="CA",Assumptions!$C$52,Assumptions!$D$52),0,IF($B$3="CA",Assumptions!$C$51,Assumptions!$D$51)))))</f>
        <v>93</v>
      </c>
      <c r="F60" s="26" t="n">
        <f aca="false">IF($B$2="C",IF(F$33="SendGrid",IF($B$3="CA",Assumptions!$C$54,Assumptions!$D$54),IF($B$3="CA",Assumptions!$C$53,Assumptions!$D$53)),IF(OR(F$33="SendGrid"),IF($B$3="CA",Assumptions!$C$49,Assumptions!$D$49),IF(OR(F$33="Postmark",AND(F$33="Best",$B$3="CA")),IF($B$3="CA",Assumptions!$C$50,Assumptions!$D$50),IF($B$21&lt;=IF($B$3="CA",Assumptions!$C$52,Assumptions!$D$52),0,IF($B$3="CA",Assumptions!$C$51,Assumptions!$D$51)))))</f>
        <v>93</v>
      </c>
      <c r="G60" s="26" t="n">
        <f aca="false">IF($B$2="C",IF(G$33="SendGrid",IF($B$3="CA",Assumptions!$C$54,Assumptions!$D$54),IF($B$3="CA",Assumptions!$C$53,Assumptions!$D$53)),IF(OR(G$33="SendGrid"),IF($B$3="CA",Assumptions!$C$49,Assumptions!$D$49),IF(OR(G$33="Postmark",AND(G$33="Best",$B$3="CA")),IF($B$3="CA",Assumptions!$C$50,Assumptions!$D$50),IF($B$21&lt;=IF($B$3="CA",Assumptions!$C$52,Assumptions!$D$52),0,IF($B$3="CA",Assumptions!$C$51,Assumptions!$D$51)))))</f>
        <v>89.95</v>
      </c>
    </row>
    <row r="61" customFormat="false" ht="15" hidden="false" customHeight="false" outlineLevel="0" collapsed="false">
      <c r="A61" s="18" t="s">
        <v>246</v>
      </c>
      <c r="C61" s="27" t="n">
        <f aca="false">SUM(C50:C60)</f>
        <v>18641.3724</v>
      </c>
      <c r="D61" s="27" t="n">
        <f aca="false">SUM(D50:D60)</f>
        <v>15124.60448</v>
      </c>
      <c r="E61" s="27" t="n">
        <f aca="false">SUM(E50:E60)</f>
        <v>13772.50224</v>
      </c>
      <c r="F61" s="27" t="n">
        <f aca="false">SUM(F50:F60)</f>
        <v>12494.255404</v>
      </c>
      <c r="G61" s="27" t="n">
        <f aca="false">SUM(G50:G60)</f>
        <v>22610.63</v>
      </c>
    </row>
    <row r="62" customFormat="false" ht="15" hidden="false" customHeight="false" outlineLevel="0" collapsed="false">
      <c r="A62" s="2" t="s">
        <v>247</v>
      </c>
      <c r="C62" s="26" t="n">
        <f aca="false">C61/$B$6</f>
        <v>372.827448</v>
      </c>
      <c r="D62" s="26" t="n">
        <f aca="false">D61/$B$6</f>
        <v>302.4920896</v>
      </c>
      <c r="E62" s="26" t="n">
        <f aca="false">E61/$B$6</f>
        <v>275.4500448</v>
      </c>
      <c r="F62" s="26" t="n">
        <f aca="false">F61/$B$6</f>
        <v>249.88510808</v>
      </c>
      <c r="G62" s="26" t="n">
        <f aca="false">G61/$B$6</f>
        <v>452.2126</v>
      </c>
    </row>
    <row r="63" customFormat="false" ht="15" hidden="false" customHeight="false" outlineLevel="0" collapsed="false">
      <c r="A63" s="2" t="s">
        <v>248</v>
      </c>
      <c r="C63" s="26" t="n">
        <f aca="false">IF($B$27=0,0,C61/$B$27)</f>
        <v>0.550976524137931</v>
      </c>
      <c r="D63" s="26" t="n">
        <f aca="false">IF($B$27=0,0,D61/$B$27)</f>
        <v>0.447032644729064</v>
      </c>
      <c r="E63" s="26" t="n">
        <f aca="false">IF($B$27=0,0,E61/$B$27)</f>
        <v>0.407069031724138</v>
      </c>
      <c r="F63" s="26" t="n">
        <f aca="false">IF($B$27=0,0,F61/$B$27)</f>
        <v>0.369288337064039</v>
      </c>
      <c r="G63" s="26" t="n">
        <f aca="false">IF($B$27=0,0,G61/$B$27)</f>
        <v>0.668294482758621</v>
      </c>
    </row>
    <row r="64" customFormat="false" ht="15" hidden="false" customHeight="false" outlineLevel="0" collapsed="false">
      <c r="A64" s="2" t="s">
        <v>249</v>
      </c>
      <c r="C64" s="25" t="n">
        <f aca="false">IF(C61=0,0,SUM(C56:C58)/C61)</f>
        <v>0.48239474042158</v>
      </c>
      <c r="D64" s="25" t="n">
        <f aca="false">IF(D61=0,0,SUM(D56:D58)/D61)</f>
        <v>0.557766651759742</v>
      </c>
      <c r="E64" s="25" t="n">
        <f aca="false">IF(E61=0,0,SUM(E56:E58)/E61)</f>
        <v>0.612524859534893</v>
      </c>
      <c r="F64" s="25" t="n">
        <f aca="false">IF(F61=0,0,SUM(F56:F58)/F61)</f>
        <v>0.675190295637725</v>
      </c>
      <c r="G64" s="25" t="n">
        <f aca="false">IF(G61=0,0,SUM(G56:G58)/G61)</f>
        <v>0.397711165058205</v>
      </c>
    </row>
    <row r="65" customFormat="false" ht="15" hidden="false" customHeight="false" outlineLevel="0" collapsed="false">
      <c r="A65" s="2" t="s">
        <v>250</v>
      </c>
      <c r="C65" s="25" t="n">
        <f aca="false">IF(C61=0,0,C59/C61)</f>
        <v>0.17866294007409</v>
      </c>
      <c r="D65" s="25" t="n">
        <f aca="false">IF(D61=0,0,D59/D61)</f>
        <v>0.178795054348423</v>
      </c>
      <c r="E65" s="25" t="n">
        <f aca="false">IF(E61=0,0,E59/E61)</f>
        <v>0.0981740439346627</v>
      </c>
      <c r="F65" s="25" t="n">
        <f aca="false">IF(F61=0,0,F59/F61)</f>
        <v>0.00591114889298288</v>
      </c>
      <c r="G65" s="25" t="n">
        <f aca="false">IF(G61=0,0,G59/G61)</f>
        <v>0.322847262548633</v>
      </c>
    </row>
    <row r="67" customFormat="false" ht="15" hidden="false" customHeight="false" outlineLevel="0" collapsed="false">
      <c r="A67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20"/>
  </cols>
  <sheetData>
    <row r="1" customFormat="false" ht="16.1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175</v>
      </c>
      <c r="B2" s="17" t="s">
        <v>257</v>
      </c>
    </row>
    <row r="3" customFormat="false" ht="15" hidden="false" customHeight="false" outlineLevel="0" collapsed="false">
      <c r="A3" s="2" t="s">
        <v>177</v>
      </c>
      <c r="B3" s="17" t="s">
        <v>6</v>
      </c>
    </row>
    <row r="5" customFormat="false" ht="15" hidden="false" customHeight="false" outlineLevel="0" collapsed="false">
      <c r="A5" s="18" t="s">
        <v>179</v>
      </c>
    </row>
    <row r="6" customFormat="false" ht="15" hidden="false" customHeight="false" outlineLevel="0" collapsed="false">
      <c r="A6" s="2" t="s">
        <v>159</v>
      </c>
      <c r="B6" s="19" t="n">
        <f aca="false">IF($B$2="A",Assumptions!$C$81,IF($B$2="B",Assumptions!$D$81,Assumptions!$E$81))</f>
        <v>50</v>
      </c>
    </row>
    <row r="7" customFormat="false" ht="15" hidden="false" customHeight="false" outlineLevel="0" collapsed="false">
      <c r="A7" s="2" t="s">
        <v>162</v>
      </c>
      <c r="B7" s="19" t="n">
        <f aca="false">IF($B$2="A",Assumptions!$C$82,IF($B$2="B",Assumptions!$D$82,Assumptions!$E$82))*$B$6</f>
        <v>75000</v>
      </c>
    </row>
    <row r="8" customFormat="false" ht="15" hidden="false" customHeight="false" outlineLevel="0" collapsed="false">
      <c r="A8" s="2" t="s">
        <v>180</v>
      </c>
      <c r="B8" s="19" t="n">
        <f aca="false">IF($B$2="A",Assumptions!$C$83,IF($B$2="B",Assumptions!$D$83,Assumptions!$E$83))*$B$6</f>
        <v>150000</v>
      </c>
    </row>
    <row r="9" customFormat="false" ht="15" hidden="false" customHeight="false" outlineLevel="0" collapsed="false">
      <c r="A9" s="2" t="s">
        <v>167</v>
      </c>
      <c r="B9" s="19" t="n">
        <f aca="false">IF($B$2="A",Assumptions!$C$86,IF($B$2="B",Assumptions!$D$86,Assumptions!$E$86))*$B$6</f>
        <v>20000</v>
      </c>
    </row>
    <row r="10" customFormat="false" ht="15" hidden="false" customHeight="false" outlineLevel="0" collapsed="false">
      <c r="A10" s="2" t="s">
        <v>181</v>
      </c>
      <c r="B10" s="19" t="n">
        <f aca="false">B9*IF($B$3="CA",Assumptions!$C$40,Assumptions!$D$40)</f>
        <v>0</v>
      </c>
    </row>
    <row r="11" customFormat="false" ht="15" hidden="false" customHeight="false" outlineLevel="0" collapsed="false">
      <c r="A11" s="2" t="s">
        <v>182</v>
      </c>
      <c r="B11" s="20" t="n">
        <f aca="false">B9-B10</f>
        <v>20000</v>
      </c>
    </row>
    <row r="12" customFormat="false" ht="15" hidden="false" customHeight="false" outlineLevel="0" collapsed="false">
      <c r="A12" s="2" t="s">
        <v>183</v>
      </c>
      <c r="B12" s="19" t="n">
        <f aca="false">(B8+B11)*Assumptions!$C$68</f>
        <v>272000</v>
      </c>
    </row>
    <row r="13" customFormat="false" ht="15" hidden="false" customHeight="false" outlineLevel="0" collapsed="false">
      <c r="A13" s="2" t="s">
        <v>184</v>
      </c>
      <c r="B13" s="19" t="n">
        <f aca="false">B7*Assumptions!$C$69</f>
        <v>75000</v>
      </c>
    </row>
    <row r="14" customFormat="false" ht="15" hidden="false" customHeight="false" outlineLevel="0" collapsed="false">
      <c r="A14" s="2" t="s">
        <v>164</v>
      </c>
      <c r="B14" s="19" t="n">
        <f aca="false">IF($B$2="A",Assumptions!$C$84,IF($B$2="B",Assumptions!$D$84,Assumptions!$E$84))*$B$6</f>
        <v>40000</v>
      </c>
    </row>
    <row r="15" customFormat="false" ht="15" hidden="false" customHeight="false" outlineLevel="0" collapsed="false">
      <c r="A15" s="2" t="s">
        <v>185</v>
      </c>
      <c r="B15" s="19" t="n">
        <f aca="false">B14*IF($B$2="A",Assumptions!$C$85,IF($B$2="B",Assumptions!$D$85,Assumptions!$E$85))</f>
        <v>24000</v>
      </c>
    </row>
    <row r="16" customFormat="false" ht="15" hidden="false" customHeight="false" outlineLevel="0" collapsed="false">
      <c r="A16" s="2" t="s">
        <v>186</v>
      </c>
      <c r="B16" s="20" t="n">
        <f aca="false">B14-B15</f>
        <v>16000</v>
      </c>
    </row>
    <row r="17" customFormat="false" ht="15" hidden="false" customHeight="false" outlineLevel="0" collapsed="false">
      <c r="A17" s="2" t="s">
        <v>187</v>
      </c>
      <c r="B17" s="19" t="n">
        <f aca="false">B15*Assumptions!$C$67+B16*Assumptions!$C$66</f>
        <v>80000</v>
      </c>
    </row>
    <row r="18" customFormat="false" ht="15" hidden="false" customHeight="false" outlineLevel="0" collapsed="false">
      <c r="A18" s="2" t="s">
        <v>188</v>
      </c>
      <c r="B18" s="19" t="n">
        <f aca="false">B15*Assumptions!$C$63+B16*Assumptions!$C$66</f>
        <v>80000</v>
      </c>
    </row>
    <row r="19" customFormat="false" ht="15" hidden="false" customHeight="false" outlineLevel="0" collapsed="false">
      <c r="A19" s="2" t="s">
        <v>189</v>
      </c>
      <c r="B19" s="19" t="n">
        <f aca="false">MAX(0,B17-IF($B$3="CA",Assumptions!$C$39,Assumptions!$D$39)*B6)</f>
        <v>30000</v>
      </c>
    </row>
    <row r="20" customFormat="false" ht="15" hidden="false" customHeight="false" outlineLevel="0" collapsed="false">
      <c r="A20" s="2" t="s">
        <v>190</v>
      </c>
      <c r="B20" s="19" t="n">
        <f aca="false">IF($B$2="A",Assumptions!$C$87,IF($B$2="B",Assumptions!$D$87,Assumptions!$E$87))*$B$6</f>
        <v>15000</v>
      </c>
    </row>
    <row r="21" customFormat="false" ht="15" hidden="false" customHeight="false" outlineLevel="0" collapsed="false">
      <c r="A21" s="2" t="s">
        <v>191</v>
      </c>
      <c r="B21" s="19" t="n">
        <f aca="false">IF($B$2="A",Assumptions!$C$89,IF($B$2="B",Assumptions!$D$89,Assumptions!$E$89))*$B$6</f>
        <v>75000</v>
      </c>
    </row>
    <row r="22" customFormat="false" ht="15" hidden="false" customHeight="false" outlineLevel="0" collapsed="false">
      <c r="A22" s="2" t="s">
        <v>192</v>
      </c>
      <c r="B22" s="19" t="n">
        <f aca="false">IF($B$2="A",Assumptions!$C$88,IF($B$2="B",Assumptions!$D$88,Assumptions!$E$88))*$B$6</f>
        <v>30000</v>
      </c>
    </row>
    <row r="23" customFormat="false" ht="15" hidden="false" customHeight="false" outlineLevel="0" collapsed="false">
      <c r="A23" s="2" t="s">
        <v>193</v>
      </c>
      <c r="B23" s="19" t="n">
        <f aca="false">B22*Assumptions!$C$70</f>
        <v>90000</v>
      </c>
    </row>
    <row r="24" customFormat="false" ht="15" hidden="false" customHeight="false" outlineLevel="0" collapsed="false">
      <c r="A24" s="2" t="s">
        <v>194</v>
      </c>
      <c r="B24" s="19" t="n">
        <f aca="false">B22*Assumptions!$C$71</f>
        <v>105000</v>
      </c>
    </row>
    <row r="25" customFormat="false" ht="15" hidden="false" customHeight="false" outlineLevel="0" collapsed="false">
      <c r="A25" s="2" t="s">
        <v>195</v>
      </c>
      <c r="B25" s="19" t="n">
        <f aca="false">B7/Assumptions!$C$63+B15+B20+B21*Assumptions!$C$65</f>
        <v>71500</v>
      </c>
    </row>
    <row r="26" customFormat="false" ht="15" hidden="false" customHeight="false" outlineLevel="0" collapsed="false">
      <c r="A26" s="2" t="s">
        <v>196</v>
      </c>
      <c r="B26" s="19" t="n">
        <f aca="false">B25*Assumptions!$C$63*Assumptions!$C$64+B16*Assumptions!$C$66*Assumptions!$C$64</f>
        <v>445000</v>
      </c>
    </row>
    <row r="27" customFormat="false" ht="15" hidden="false" customHeight="false" outlineLevel="0" collapsed="false">
      <c r="A27" s="2" t="s">
        <v>197</v>
      </c>
      <c r="B27" s="21" t="n">
        <f aca="false">(B25+B22)*Assumptions!$C$72</f>
        <v>33833.3333333333</v>
      </c>
    </row>
    <row r="29" customFormat="false" ht="45" hidden="false" customHeight="true" outlineLevel="0" collapsed="false">
      <c r="A29" s="18" t="s">
        <v>198</v>
      </c>
      <c r="C29" s="22" t="s">
        <v>199</v>
      </c>
      <c r="D29" s="22" t="s">
        <v>200</v>
      </c>
      <c r="E29" s="22" t="s">
        <v>201</v>
      </c>
      <c r="F29" s="22" t="s">
        <v>202</v>
      </c>
      <c r="G29" s="22" t="s">
        <v>203</v>
      </c>
    </row>
    <row r="30" customFormat="false" ht="15" hidden="false" customHeight="false" outlineLevel="0" collapsed="false">
      <c r="A30" s="2" t="s">
        <v>204</v>
      </c>
      <c r="C30" s="23" t="s">
        <v>205</v>
      </c>
      <c r="D30" s="23" t="s">
        <v>206</v>
      </c>
      <c r="E30" s="23" t="s">
        <v>206</v>
      </c>
      <c r="F30" s="23" t="s">
        <v>206</v>
      </c>
      <c r="G30" s="23" t="s">
        <v>205</v>
      </c>
    </row>
    <row r="31" customFormat="false" ht="15" hidden="false" customHeight="false" outlineLevel="0" collapsed="false">
      <c r="A31" s="2" t="s">
        <v>207</v>
      </c>
      <c r="C31" s="23" t="s">
        <v>205</v>
      </c>
      <c r="D31" s="23" t="s">
        <v>208</v>
      </c>
      <c r="E31" s="23" t="s">
        <v>208</v>
      </c>
      <c r="F31" s="23" t="s">
        <v>208</v>
      </c>
      <c r="G31" s="23" t="s">
        <v>205</v>
      </c>
    </row>
    <row r="32" customFormat="false" ht="15" hidden="false" customHeight="false" outlineLevel="0" collapsed="false">
      <c r="A32" s="2" t="s">
        <v>209</v>
      </c>
      <c r="C32" s="23" t="s">
        <v>210</v>
      </c>
      <c r="D32" s="23" t="s">
        <v>211</v>
      </c>
      <c r="E32" s="23" t="s">
        <v>211</v>
      </c>
      <c r="F32" s="23" t="s">
        <v>211</v>
      </c>
      <c r="G32" s="23" t="s">
        <v>210</v>
      </c>
    </row>
    <row r="33" customFormat="false" ht="15" hidden="false" customHeight="false" outlineLevel="0" collapsed="false">
      <c r="A33" s="2" t="s">
        <v>212</v>
      </c>
      <c r="C33" s="23" t="s">
        <v>213</v>
      </c>
      <c r="D33" s="23" t="s">
        <v>214</v>
      </c>
      <c r="E33" s="23" t="s">
        <v>214</v>
      </c>
      <c r="F33" s="23" t="s">
        <v>214</v>
      </c>
      <c r="G33" s="23" t="s">
        <v>213</v>
      </c>
    </row>
    <row r="34" customFormat="false" ht="15" hidden="false" customHeight="false" outlineLevel="0" collapsed="false">
      <c r="A34" s="2" t="s">
        <v>215</v>
      </c>
      <c r="C34" s="23" t="s">
        <v>216</v>
      </c>
      <c r="D34" s="23" t="s">
        <v>216</v>
      </c>
      <c r="E34" s="23" t="s">
        <v>217</v>
      </c>
      <c r="F34" s="23" t="s">
        <v>218</v>
      </c>
      <c r="G34" s="23" t="s">
        <v>216</v>
      </c>
    </row>
    <row r="35" customFormat="false" ht="15" hidden="false" customHeight="false" outlineLevel="0" collapsed="false">
      <c r="A35" s="2" t="s">
        <v>219</v>
      </c>
      <c r="C35" s="23" t="s">
        <v>220</v>
      </c>
      <c r="D35" s="23" t="s">
        <v>221</v>
      </c>
      <c r="E35" s="23" t="s">
        <v>221</v>
      </c>
      <c r="F35" s="23" t="s">
        <v>221</v>
      </c>
      <c r="G35" s="23" t="s">
        <v>222</v>
      </c>
    </row>
    <row r="37" customFormat="false" ht="15" hidden="false" customHeight="false" outlineLevel="0" collapsed="false">
      <c r="A37" s="18" t="s">
        <v>223</v>
      </c>
    </row>
    <row r="38" customFormat="false" ht="15" hidden="false" customHeight="false" outlineLevel="0" collapsed="false">
      <c r="A38" s="2" t="s">
        <v>224</v>
      </c>
      <c r="C38" s="24" t="n">
        <f aca="false">IF(C34="opus",Assumptions!$C$6,IF(C34="sonnet",Assumptions!$C$11,Assumptions!$C$16))*Assumptions!$C$21</f>
        <v>4</v>
      </c>
      <c r="D38" s="24" t="n">
        <f aca="false">IF(D34="opus",Assumptions!$C$6,IF(D34="sonnet",Assumptions!$C$11,Assumptions!$C$16))*Assumptions!$C$21</f>
        <v>4</v>
      </c>
      <c r="E38" s="24" t="n">
        <f aca="false">IF(E34="opus",Assumptions!$C$6,IF(E34="sonnet",Assumptions!$C$11,Assumptions!$C$16))*Assumptions!$C$21</f>
        <v>2</v>
      </c>
      <c r="F38" s="24" t="n">
        <f aca="false">IF(F34="opus",Assumptions!$C$6,IF(F34="sonnet",Assumptions!$C$11,Assumptions!$C$16))*Assumptions!$C$21</f>
        <v>0.1</v>
      </c>
      <c r="G38" s="24" t="n">
        <f aca="false">IF(G34="opus",Assumptions!$C$6,IF(G34="sonnet",Assumptions!$C$11,Assumptions!$C$16))*Assumptions!$C$21</f>
        <v>4</v>
      </c>
    </row>
    <row r="39" customFormat="false" ht="15" hidden="false" customHeight="false" outlineLevel="0" collapsed="false">
      <c r="A39" s="2" t="s">
        <v>225</v>
      </c>
      <c r="C39" s="24" t="n">
        <f aca="false">IF(C34="opus",Assumptions!$C$7,IF(C34="sonnet",Assumptions!$C$12,Assumptions!$C$17))*Assumptions!$C$21</f>
        <v>20</v>
      </c>
      <c r="D39" s="24" t="n">
        <f aca="false">IF(D34="opus",Assumptions!$C$7,IF(D34="sonnet",Assumptions!$C$12,Assumptions!$C$17))*Assumptions!$C$21</f>
        <v>20</v>
      </c>
      <c r="E39" s="24" t="n">
        <f aca="false">IF(E34="opus",Assumptions!$C$7,IF(E34="sonnet",Assumptions!$C$12,Assumptions!$C$17))*Assumptions!$C$21</f>
        <v>10</v>
      </c>
      <c r="F39" s="24" t="n">
        <f aca="false">IF(F34="opus",Assumptions!$C$7,IF(F34="sonnet",Assumptions!$C$12,Assumptions!$C$17))*Assumptions!$C$21</f>
        <v>0.5</v>
      </c>
      <c r="G39" s="24" t="n">
        <f aca="false">IF(G34="opus",Assumptions!$C$7,IF(G34="sonnet",Assumptions!$C$12,Assumptions!$C$17))*Assumptions!$C$21</f>
        <v>20</v>
      </c>
    </row>
    <row r="40" customFormat="false" ht="15" hidden="false" customHeight="false" outlineLevel="0" collapsed="false">
      <c r="A40" s="2" t="s">
        <v>226</v>
      </c>
      <c r="C40" s="24" t="n">
        <f aca="false">IF(C34="opus",Assumptions!$C$8,IF(C34="sonnet",Assumptions!$C$13,Assumptions!$C$18))*Assumptions!$C$21</f>
        <v>0.2</v>
      </c>
      <c r="D40" s="24" t="n">
        <f aca="false">IF(D34="opus",Assumptions!$C$8,IF(D34="sonnet",Assumptions!$C$13,Assumptions!$C$18))*Assumptions!$C$21</f>
        <v>0.2</v>
      </c>
      <c r="E40" s="24" t="n">
        <f aca="false">IF(E34="opus",Assumptions!$C$8,IF(E34="sonnet",Assumptions!$C$13,Assumptions!$C$18))*Assumptions!$C$21</f>
        <v>0.1</v>
      </c>
      <c r="F40" s="24" t="n">
        <f aca="false">IF(F34="opus",Assumptions!$C$8,IF(F34="sonnet",Assumptions!$C$13,Assumptions!$C$18))*Assumptions!$C$21</f>
        <v>0.01</v>
      </c>
      <c r="G40" s="24" t="n">
        <f aca="false">IF(G34="opus",Assumptions!$C$8,IF(G34="sonnet",Assumptions!$C$13,Assumptions!$C$18))*Assumptions!$C$21</f>
        <v>0.2</v>
      </c>
    </row>
    <row r="41" customFormat="false" ht="15" hidden="false" customHeight="false" outlineLevel="0" collapsed="false">
      <c r="A41" s="2" t="s">
        <v>227</v>
      </c>
      <c r="C41" s="24" t="n">
        <f aca="false">IF(C35="5m",IF(C34="opus",Assumptions!$C$9,IF(C34="sonnet",Assumptions!$C$14,Assumptions!$C$19)),IF(C35="1h",IF(C34="opus",Assumptions!$C$10,IF(C34="sonnet",Assumptions!$C$15,Assumptions!$C$20)),0))*Assumptions!$C$21</f>
        <v>5</v>
      </c>
      <c r="D41" s="24" t="n">
        <f aca="false">IF(D35="5m",IF(D34="opus",Assumptions!$C$9,IF(D34="sonnet",Assumptions!$C$14,Assumptions!$C$19)),IF(D35="1h",IF(D34="opus",Assumptions!$C$10,IF(D34="sonnet",Assumptions!$C$15,Assumptions!$C$20)),0))*Assumptions!$C$21</f>
        <v>8</v>
      </c>
      <c r="E41" s="24" t="n">
        <f aca="false">IF(E35="5m",IF(E34="opus",Assumptions!$C$9,IF(E34="sonnet",Assumptions!$C$14,Assumptions!$C$19)),IF(E35="1h",IF(E34="opus",Assumptions!$C$10,IF(E34="sonnet",Assumptions!$C$15,Assumptions!$C$20)),0))*Assumptions!$C$21</f>
        <v>4</v>
      </c>
      <c r="F41" s="24" t="n">
        <f aca="false">IF(F35="5m",IF(F34="opus",Assumptions!$C$9,IF(F34="sonnet",Assumptions!$C$14,Assumptions!$C$19)),IF(F35="1h",IF(F34="opus",Assumptions!$C$10,IF(F34="sonnet",Assumptions!$C$15,Assumptions!$C$20)),0))*Assumptions!$C$21</f>
        <v>0.2</v>
      </c>
      <c r="G41" s="24" t="n">
        <f aca="false">IF(G35="5m",IF(G34="opus",Assumptions!$C$9,IF(G34="sonnet",Assumptions!$C$14,Assumptions!$C$19)),IF(G35="1h",IF(G34="opus",Assumptions!$C$10,IF(G34="sonnet",Assumptions!$C$15,Assumptions!$C$20)),0))*Assumptions!$C$21</f>
        <v>0</v>
      </c>
    </row>
    <row r="42" customFormat="false" ht="15" hidden="false" customHeight="false" outlineLevel="0" collapsed="false">
      <c r="A42" s="2" t="s">
        <v>228</v>
      </c>
      <c r="C42" s="25" t="n">
        <f aca="false">IF(C35="5m",IF($B$2="A",Assumptions!$C$76,IF($B$2="B",Assumptions!$D$76,Assumptions!$E$76)),IF(C35="1h",IF($B$2="A",Assumptions!$C$77,IF($B$2="B",Assumptions!$D$77,Assumptions!$E$77)),1))</f>
        <v>0.15</v>
      </c>
      <c r="D42" s="25" t="n">
        <f aca="false">IF(D35="5m",IF($B$2="A",Assumptions!$C$76,IF($B$2="B",Assumptions!$D$76,Assumptions!$E$76)),IF(D35="1h",IF($B$2="A",Assumptions!$C$77,IF($B$2="B",Assumptions!$D$77,Assumptions!$E$77)),1))</f>
        <v>0.03</v>
      </c>
      <c r="E42" s="25" t="n">
        <f aca="false">IF(E35="5m",IF($B$2="A",Assumptions!$C$76,IF($B$2="B",Assumptions!$D$76,Assumptions!$E$76)),IF(E35="1h",IF($B$2="A",Assumptions!$C$77,IF($B$2="B",Assumptions!$D$77,Assumptions!$E$77)),1))</f>
        <v>0.03</v>
      </c>
      <c r="F42" s="25" t="n">
        <f aca="false">IF(F35="5m",IF($B$2="A",Assumptions!$C$76,IF($B$2="B",Assumptions!$D$76,Assumptions!$E$76)),IF(F35="1h",IF($B$2="A",Assumptions!$C$77,IF($B$2="B",Assumptions!$D$77,Assumptions!$E$77)),1))</f>
        <v>0.03</v>
      </c>
      <c r="G42" s="25" t="n">
        <f aca="false">IF(G35="5m",IF($B$2="A",Assumptions!$C$76,IF($B$2="B",Assumptions!$D$76,Assumptions!$E$76)),IF(G35="1h",IF($B$2="A",Assumptions!$C$77,IF($B$2="B",Assumptions!$D$77,Assumptions!$E$77)),1))</f>
        <v>1</v>
      </c>
    </row>
    <row r="43" customFormat="false" ht="15" hidden="false" customHeight="false" outlineLevel="0" collapsed="false">
      <c r="A43" s="2" t="s">
        <v>229</v>
      </c>
      <c r="C43" s="24" t="n">
        <f aca="false">IF(C35="none",Assumptions!$C$58*C38,Assumptions!$C$58*(C42*C41+(1-C42)*C40))/1000000</f>
        <v>0.00266432</v>
      </c>
      <c r="D43" s="24" t="n">
        <f aca="false">IF(D35="none",Assumptions!$C$58*D38,Assumptions!$C$58*(D42*D41+(1-D42)*D40))/1000000</f>
        <v>0.001256864</v>
      </c>
      <c r="E43" s="24" t="n">
        <f aca="false">IF(E35="none",Assumptions!$C$58*E38,Assumptions!$C$58*(E42*E41+(1-E42)*E40))/1000000</f>
        <v>0.000628432</v>
      </c>
      <c r="F43" s="24" t="n">
        <f aca="false">IF(F35="none",Assumptions!$C$58*F38,Assumptions!$C$58*(F42*F41+(1-F42)*F40))/1000000</f>
        <v>4.54672E-005</v>
      </c>
      <c r="G43" s="24" t="n">
        <f aca="false">IF(G35="none",Assumptions!$C$58*G38,Assumptions!$C$58*(G42*G41+(1-G42)*G40))/1000000</f>
        <v>0.011584</v>
      </c>
    </row>
    <row r="44" customFormat="false" ht="15" hidden="false" customHeight="false" outlineLevel="0" collapsed="false">
      <c r="A44" s="2" t="s">
        <v>230</v>
      </c>
      <c r="C44" s="24" t="n">
        <f aca="false">(Assumptions!$C$59+Assumptions!$C$60+Assumptions!$C$61)*C38/1000000</f>
        <v>0.00202</v>
      </c>
      <c r="D44" s="24" t="n">
        <f aca="false">(Assumptions!$C$59+Assumptions!$C$60+Assumptions!$C$61)*D38/1000000</f>
        <v>0.00202</v>
      </c>
      <c r="E44" s="24" t="n">
        <f aca="false">(Assumptions!$C$59+Assumptions!$C$60+Assumptions!$C$61)*E38/1000000</f>
        <v>0.00101</v>
      </c>
      <c r="F44" s="24" t="n">
        <f aca="false">(Assumptions!$C$59+Assumptions!$C$60+Assumptions!$C$61)*F38/1000000</f>
        <v>5.05E-005</v>
      </c>
      <c r="G44" s="24" t="n">
        <f aca="false">(Assumptions!$C$59+Assumptions!$C$60+Assumptions!$C$61)*G38/1000000</f>
        <v>0.00202</v>
      </c>
    </row>
    <row r="45" customFormat="false" ht="15" hidden="false" customHeight="false" outlineLevel="0" collapsed="false">
      <c r="A45" s="2" t="s">
        <v>231</v>
      </c>
      <c r="C45" s="24" t="n">
        <f aca="false">Assumptions!$C$62*C39/1000000</f>
        <v>0.0028</v>
      </c>
      <c r="D45" s="24" t="n">
        <f aca="false">Assumptions!$C$62*D39/1000000</f>
        <v>0.0028</v>
      </c>
      <c r="E45" s="24" t="n">
        <f aca="false">Assumptions!$C$62*E39/1000000</f>
        <v>0.0014</v>
      </c>
      <c r="F45" s="24" t="n">
        <f aca="false">Assumptions!$C$62*F39/1000000</f>
        <v>7E-005</v>
      </c>
      <c r="G45" s="24" t="n">
        <f aca="false">Assumptions!$C$62*G39/1000000</f>
        <v>0.0028</v>
      </c>
    </row>
    <row r="46" customFormat="false" ht="15" hidden="false" customHeight="false" outlineLevel="0" collapsed="false">
      <c r="A46" s="2" t="s">
        <v>232</v>
      </c>
      <c r="C46" s="24" t="n">
        <f aca="false">C43+C44+C45</f>
        <v>0.00748432</v>
      </c>
      <c r="D46" s="24" t="n">
        <f aca="false">D43+D44+D45</f>
        <v>0.006076864</v>
      </c>
      <c r="E46" s="24" t="n">
        <f aca="false">E43+E44+E45</f>
        <v>0.003038432</v>
      </c>
      <c r="F46" s="24" t="n">
        <f aca="false">F43+F44+F45</f>
        <v>0.0001659672</v>
      </c>
      <c r="G46" s="24" t="n">
        <f aca="false">G43+G44+G45</f>
        <v>0.016404</v>
      </c>
    </row>
    <row r="47" customFormat="false" ht="15" hidden="false" customHeight="false" outlineLevel="0" collapsed="false">
      <c r="A47" s="2" t="s">
        <v>233</v>
      </c>
      <c r="C47" s="24" t="n">
        <f aca="false">C46*Assumptions!$C$63*Assumptions!$C$64</f>
        <v>0.04490592</v>
      </c>
      <c r="D47" s="24" t="n">
        <f aca="false">D46*Assumptions!$C$63*Assumptions!$C$64</f>
        <v>0.036461184</v>
      </c>
      <c r="E47" s="24" t="n">
        <f aca="false">E46*Assumptions!$C$63*Assumptions!$C$64</f>
        <v>0.018230592</v>
      </c>
      <c r="F47" s="24" t="n">
        <f aca="false">F46*Assumptions!$C$63*Assumptions!$C$64</f>
        <v>0.0009958032</v>
      </c>
      <c r="G47" s="24" t="n">
        <f aca="false">G46*Assumptions!$C$63*Assumptions!$C$64</f>
        <v>0.098424</v>
      </c>
    </row>
    <row r="49" customFormat="false" ht="15" hidden="false" customHeight="false" outlineLevel="0" collapsed="false">
      <c r="A49" s="18" t="s">
        <v>234</v>
      </c>
    </row>
    <row r="50" customFormat="false" ht="15" hidden="false" customHeight="false" outlineLevel="0" collapsed="false">
      <c r="A50" s="2" t="s">
        <v>235</v>
      </c>
      <c r="C50" s="26" t="n">
        <f aca="false">IF(C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4211.9</v>
      </c>
      <c r="D50" s="26" t="n">
        <f aca="false">IF(D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2719.8</v>
      </c>
      <c r="E50" s="26" t="n">
        <f aca="false">IF(E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2719.8</v>
      </c>
      <c r="F50" s="26" t="n">
        <f aca="false">IF(F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2719.8</v>
      </c>
      <c r="G50" s="26" t="n">
        <f aca="false">IF(G$30="Twilio",$B$12*(IF($B$3="CA",Assumptions!$C$22,Assumptions!$D$22)+IF($B$3="CA",Assumptions!$C$26,Assumptions!$D$26))+$B$13*(IF($B$3="CA",Assumptions!$C$23,Assumptions!$D$23)+IF($B$3="CA",Assumptions!$C$27,Assumptions!$D$27)),$B$12*(IF($B$3="CA",Assumptions!$C$24,Assumptions!$D$24)+IF($B$3="CA",Assumptions!$C$26,Assumptions!$D$26))+$B$13*(IF($B$3="CA",Assumptions!$C$25,Assumptions!$D$25)+IF($B$3="CA",Assumptions!$C$27,Assumptions!$D$27)))</f>
        <v>4211.9</v>
      </c>
    </row>
    <row r="51" customFormat="false" ht="15" hidden="false" customHeight="false" outlineLevel="0" collapsed="false">
      <c r="A51" s="2" t="s">
        <v>236</v>
      </c>
      <c r="C51" s="26" t="n">
        <f aca="false">$B$6*((IF($B$3="CA",Assumptions!$C$30,Assumptions!$D$30)+IF($B$3="CA",Assumptions!$C$31,Assumptions!$D$31))/Assumptions!$C$34+IF(C$30="Twilio",IF($B$3="CA",Assumptions!$C$32,Assumptions!$D$32),IF($B$3="CA",Assumptions!$C$33,Assumptions!$D$33)))</f>
        <v>156.25</v>
      </c>
      <c r="D51" s="26" t="n">
        <f aca="false">$B$6*((IF($B$3="CA",Assumptions!$C$30,Assumptions!$D$30)+IF($B$3="CA",Assumptions!$C$31,Assumptions!$D$31))/Assumptions!$C$34+IF(D$30="Twilio",IF($B$3="CA",Assumptions!$C$32,Assumptions!$D$32),IF($B$3="CA",Assumptions!$C$33,Assumptions!$D$33)))</f>
        <v>181.25</v>
      </c>
      <c r="E51" s="26" t="n">
        <f aca="false">$B$6*((IF($B$3="CA",Assumptions!$C$30,Assumptions!$D$30)+IF($B$3="CA",Assumptions!$C$31,Assumptions!$D$31))/Assumptions!$C$34+IF(E$30="Twilio",IF($B$3="CA",Assumptions!$C$32,Assumptions!$D$32),IF($B$3="CA",Assumptions!$C$33,Assumptions!$D$33)))</f>
        <v>181.25</v>
      </c>
      <c r="F51" s="26" t="n">
        <f aca="false">$B$6*((IF($B$3="CA",Assumptions!$C$30,Assumptions!$D$30)+IF($B$3="CA",Assumptions!$C$31,Assumptions!$D$31))/Assumptions!$C$34+IF(F$30="Twilio",IF($B$3="CA",Assumptions!$C$32,Assumptions!$D$32),IF($B$3="CA",Assumptions!$C$33,Assumptions!$D$33)))</f>
        <v>181.25</v>
      </c>
      <c r="G51" s="26" t="n">
        <f aca="false">$B$6*((IF($B$3="CA",Assumptions!$C$30,Assumptions!$D$30)+IF($B$3="CA",Assumptions!$C$31,Assumptions!$D$31))/Assumptions!$C$34+IF(G$30="Twilio",IF($B$3="CA",Assumptions!$C$32,Assumptions!$D$32),IF($B$3="CA",Assumptions!$C$33,Assumptions!$D$33)))</f>
        <v>156.25</v>
      </c>
    </row>
    <row r="52" customFormat="false" ht="15" hidden="false" customHeight="false" outlineLevel="0" collapsed="false">
      <c r="A52" s="2" t="s">
        <v>237</v>
      </c>
      <c r="C52" s="26" t="n">
        <f aca="false">$B$6*IF(C$30="Twilio",IF($B$3="CA",Assumptions!$C$28,Assumptions!$D$28),IF($B$3="CA",Assumptions!$C$29,Assumptions!$D$29))</f>
        <v>57.5</v>
      </c>
      <c r="D52" s="26" t="n">
        <f aca="false">$B$6*IF(D$30="Twilio",IF($B$3="CA",Assumptions!$C$28,Assumptions!$D$28),IF($B$3="CA",Assumptions!$C$29,Assumptions!$D$29))</f>
        <v>55</v>
      </c>
      <c r="E52" s="26" t="n">
        <f aca="false">$B$6*IF(E$30="Twilio",IF($B$3="CA",Assumptions!$C$28,Assumptions!$D$28),IF($B$3="CA",Assumptions!$C$29,Assumptions!$D$29))</f>
        <v>55</v>
      </c>
      <c r="F52" s="26" t="n">
        <f aca="false">$B$6*IF(F$30="Twilio",IF($B$3="CA",Assumptions!$C$28,Assumptions!$D$28),IF($B$3="CA",Assumptions!$C$29,Assumptions!$D$29))</f>
        <v>55</v>
      </c>
      <c r="G52" s="26" t="n">
        <f aca="false">$B$6*IF(G$30="Twilio",IF($B$3="CA",Assumptions!$C$28,Assumptions!$D$28),IF($B$3="CA",Assumptions!$C$29,Assumptions!$D$29))</f>
        <v>57.5</v>
      </c>
    </row>
    <row r="53" customFormat="false" ht="15" hidden="false" customHeight="false" outlineLevel="0" collapsed="false">
      <c r="A53" s="2" t="s">
        <v>238</v>
      </c>
      <c r="C53" s="26" t="n">
        <f aca="false">$B$16*IF($B$3="CA",Assumptions!$C$35,Assumptions!$D$35)+$B$10*IF($B$3="CA",Assumptions!$C$37,Assumptions!$D$37)+$B$19*IF($B$3="CA",Assumptions!$C$38,Assumptions!$D$38)</f>
        <v>156.4</v>
      </c>
      <c r="D53" s="26" t="n">
        <f aca="false">$B$16*IF($B$3="CA",Assumptions!$C$35,Assumptions!$D$35)+$B$10*IF($B$3="CA",Assumptions!$C$37,Assumptions!$D$37)+$B$19*IF($B$3="CA",Assumptions!$C$38,Assumptions!$D$38)</f>
        <v>156.4</v>
      </c>
      <c r="E53" s="26" t="n">
        <f aca="false">$B$16*IF($B$3="CA",Assumptions!$C$35,Assumptions!$D$35)+$B$10*IF($B$3="CA",Assumptions!$C$37,Assumptions!$D$37)+$B$19*IF($B$3="CA",Assumptions!$C$38,Assumptions!$D$38)</f>
        <v>156.4</v>
      </c>
      <c r="F53" s="26" t="n">
        <f aca="false">$B$16*IF($B$3="CA",Assumptions!$C$35,Assumptions!$D$35)+$B$10*IF($B$3="CA",Assumptions!$C$37,Assumptions!$D$37)+$B$19*IF($B$3="CA",Assumptions!$C$38,Assumptions!$D$38)</f>
        <v>156.4</v>
      </c>
      <c r="G53" s="26" t="n">
        <f aca="false">$B$16*IF($B$3="CA",Assumptions!$C$35,Assumptions!$D$35)+$B$10*IF($B$3="CA",Assumptions!$C$37,Assumptions!$D$37)+$B$19*IF($B$3="CA",Assumptions!$C$38,Assumptions!$D$38)</f>
        <v>156.4</v>
      </c>
    </row>
    <row r="54" customFormat="false" ht="15" hidden="false" customHeight="false" outlineLevel="0" collapsed="false">
      <c r="A54" s="2" t="s">
        <v>239</v>
      </c>
      <c r="C54" s="26" t="n">
        <f aca="false">IF(C$31="Twilio",($B$16+$B$10+$B$17+$B$18)*IF($B$3="CA",Assumptions!$C$41,Assumptions!$D$41),0)</f>
        <v>880</v>
      </c>
      <c r="D54" s="26" t="n">
        <f aca="false">IF(D$31="Twilio",($B$16+$B$10+$B$17+$B$18)*IF($B$3="CA",Assumptions!$C$41,Assumptions!$D$41),0)</f>
        <v>0</v>
      </c>
      <c r="E54" s="26" t="n">
        <f aca="false">IF(E$31="Twilio",($B$16+$B$10+$B$17+$B$18)*IF($B$3="CA",Assumptions!$C$41,Assumptions!$D$41),0)</f>
        <v>0</v>
      </c>
      <c r="F54" s="26" t="n">
        <f aca="false">IF(F$31="Twilio",($B$16+$B$10+$B$17+$B$18)*IF($B$3="CA",Assumptions!$C$41,Assumptions!$D$41),0)</f>
        <v>0</v>
      </c>
      <c r="G54" s="26" t="n">
        <f aca="false">IF(G$31="Twilio",($B$16+$B$10+$B$17+$B$18)*IF($B$3="CA",Assumptions!$C$41,Assumptions!$D$41),0)</f>
        <v>880</v>
      </c>
    </row>
    <row r="55" customFormat="false" ht="15" hidden="false" customHeight="false" outlineLevel="0" collapsed="false">
      <c r="A55" s="2" t="s">
        <v>240</v>
      </c>
      <c r="C55" s="26" t="n">
        <f aca="false">$B$20*Assumptions!$C$63*2*IF($B$3="CA",Assumptions!$C$42,Assumptions!$D$42)</f>
        <v>0</v>
      </c>
      <c r="D55" s="26" t="n">
        <f aca="false">$B$20*Assumptions!$C$63*2*IF($B$3="CA",Assumptions!$C$42,Assumptions!$D$42)</f>
        <v>0</v>
      </c>
      <c r="E55" s="26" t="n">
        <f aca="false">$B$20*Assumptions!$C$63*2*IF($B$3="CA",Assumptions!$C$42,Assumptions!$D$42)</f>
        <v>0</v>
      </c>
      <c r="F55" s="26" t="n">
        <f aca="false">$B$20*Assumptions!$C$63*2*IF($B$3="CA",Assumptions!$C$42,Assumptions!$D$42)</f>
        <v>0</v>
      </c>
      <c r="G55" s="26" t="n">
        <f aca="false">$B$20*Assumptions!$C$63*2*IF($B$3="CA",Assumptions!$C$42,Assumptions!$D$42)</f>
        <v>0</v>
      </c>
    </row>
    <row r="56" customFormat="false" ht="15" hidden="false" customHeight="false" outlineLevel="0" collapsed="false">
      <c r="A56" s="2" t="s">
        <v>241</v>
      </c>
      <c r="C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D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E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F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  <c r="G56" s="26" t="n">
        <f aca="false">IF($B$2="C",MAX(IF($B$2="A",Assumptions!$C$90,IF($B$2="B",Assumptions!$D$90,Assumptions!$E$90)),$B$23*IF($B$3="CA",Assumptions!$C$43,Assumptions!$D$43)),$B$6*MAX(IF($B$2="A",Assumptions!$C$90,IF($B$2="B",Assumptions!$D$90,Assumptions!$E$90)),$B$23/$B$6*IF($B$3="CA",Assumptions!$C$43,Assumptions!$D$43)))</f>
        <v>7200</v>
      </c>
    </row>
    <row r="57" customFormat="false" ht="15" hidden="false" customHeight="false" outlineLevel="0" collapsed="false">
      <c r="A57" s="2" t="s">
        <v>242</v>
      </c>
      <c r="C57" s="26" t="n">
        <f aca="false">$B$23*IF($B$3="CA",Assumptions!$C$44,Assumptions!$D$44)</f>
        <v>900</v>
      </c>
      <c r="D57" s="26" t="n">
        <f aca="false">$B$23*IF($B$3="CA",Assumptions!$C$44,Assumptions!$D$44)</f>
        <v>900</v>
      </c>
      <c r="E57" s="26" t="n">
        <f aca="false">$B$23*IF($B$3="CA",Assumptions!$C$44,Assumptions!$D$44)</f>
        <v>900</v>
      </c>
      <c r="F57" s="26" t="n">
        <f aca="false">$B$23*IF($B$3="CA",Assumptions!$C$44,Assumptions!$D$44)</f>
        <v>900</v>
      </c>
      <c r="G57" s="26" t="n">
        <f aca="false">$B$23*IF($B$3="CA",Assumptions!$C$44,Assumptions!$D$44)</f>
        <v>900</v>
      </c>
    </row>
    <row r="58" customFormat="false" ht="15" hidden="false" customHeight="false" outlineLevel="0" collapsed="false">
      <c r="A58" s="2" t="s">
        <v>243</v>
      </c>
      <c r="C58" s="26" t="n">
        <f aca="false">$B$24*IF(C$32="TwilioNative",IF($B$3="CA",Assumptions!$C$45,Assumptions!$D$45),IF(C$32="TwilioSIP",IF($B$3="CA",Assumptions!$C$46,Assumptions!$D$46),IF($B$3="CA",Assumptions!$C$47,Assumptions!$D$47)))</f>
        <v>892.5</v>
      </c>
      <c r="D58" s="26" t="n">
        <f aca="false">$B$24*IF(D$32="TwilioNative",IF($B$3="CA",Assumptions!$C$45,Assumptions!$D$45),IF(D$32="TwilioSIP",IF($B$3="CA",Assumptions!$C$46,Assumptions!$D$46),IF($B$3="CA",Assumptions!$C$47,Assumptions!$D$47)))</f>
        <v>336</v>
      </c>
      <c r="E58" s="26" t="n">
        <f aca="false">$B$24*IF(E$32="TwilioNative",IF($B$3="CA",Assumptions!$C$45,Assumptions!$D$45),IF(E$32="TwilioSIP",IF($B$3="CA",Assumptions!$C$46,Assumptions!$D$46),IF($B$3="CA",Assumptions!$C$47,Assumptions!$D$47)))</f>
        <v>336</v>
      </c>
      <c r="F58" s="26" t="n">
        <f aca="false">$B$24*IF(F$32="TwilioNative",IF($B$3="CA",Assumptions!$C$45,Assumptions!$D$45),IF(F$32="TwilioSIP",IF($B$3="CA",Assumptions!$C$46,Assumptions!$D$46),IF($B$3="CA",Assumptions!$C$47,Assumptions!$D$47)))</f>
        <v>336</v>
      </c>
      <c r="G58" s="26" t="n">
        <f aca="false">$B$24*IF(G$32="TwilioNative",IF($B$3="CA",Assumptions!$C$45,Assumptions!$D$45),IF(G$32="TwilioSIP",IF($B$3="CA",Assumptions!$C$46,Assumptions!$D$46),IF($B$3="CA",Assumptions!$C$47,Assumptions!$D$47)))</f>
        <v>892.5</v>
      </c>
    </row>
    <row r="59" customFormat="false" ht="15" hidden="false" customHeight="false" outlineLevel="0" collapsed="false">
      <c r="A59" s="2" t="s">
        <v>244</v>
      </c>
      <c r="C59" s="26" t="n">
        <f aca="false">$B$26*C46</f>
        <v>3330.5224</v>
      </c>
      <c r="D59" s="26" t="n">
        <f aca="false">$B$26*D46</f>
        <v>2704.20448</v>
      </c>
      <c r="E59" s="26" t="n">
        <f aca="false">$B$26*E46</f>
        <v>1352.10224</v>
      </c>
      <c r="F59" s="26" t="n">
        <f aca="false">$B$26*F46</f>
        <v>73.855404</v>
      </c>
      <c r="G59" s="26" t="n">
        <f aca="false">$B$26*G46</f>
        <v>7299.78</v>
      </c>
    </row>
    <row r="60" customFormat="false" ht="15" hidden="false" customHeight="false" outlineLevel="0" collapsed="false">
      <c r="A60" s="2" t="s">
        <v>245</v>
      </c>
      <c r="C60" s="26" t="n">
        <f aca="false">IF($B$2="C",IF(C$33="SendGrid",IF($B$3="CA",Assumptions!$C$54,Assumptions!$D$54),IF($B$3="CA",Assumptions!$C$53,Assumptions!$D$53)),IF(OR(C$33="SendGrid"),IF($B$3="CA",Assumptions!$C$49,Assumptions!$D$49),IF(OR(C$33="Postmark",AND(C$33="Best",$B$3="CA")),IF($B$3="CA",Assumptions!$C$50,Assumptions!$D$50),IF($B$21&lt;=IF($B$3="CA",Assumptions!$C$52,Assumptions!$D$52),0,IF($B$3="CA",Assumptions!$C$51,Assumptions!$D$51)))))</f>
        <v>89.95</v>
      </c>
      <c r="D60" s="26" t="n">
        <f aca="false">IF($B$2="C",IF(D$33="SendGrid",IF($B$3="CA",Assumptions!$C$54,Assumptions!$D$54),IF($B$3="CA",Assumptions!$C$53,Assumptions!$D$53)),IF(OR(D$33="SendGrid"),IF($B$3="CA",Assumptions!$C$49,Assumptions!$D$49),IF(OR(D$33="Postmark",AND(D$33="Best",$B$3="CA")),IF($B$3="CA",Assumptions!$C$50,Assumptions!$D$50),IF($B$21&lt;=IF($B$3="CA",Assumptions!$C$52,Assumptions!$D$52),0,IF($B$3="CA",Assumptions!$C$51,Assumptions!$D$51)))))</f>
        <v>500</v>
      </c>
      <c r="E60" s="26" t="n">
        <f aca="false">IF($B$2="C",IF(E$33="SendGrid",IF($B$3="CA",Assumptions!$C$54,Assumptions!$D$54),IF($B$3="CA",Assumptions!$C$53,Assumptions!$D$53)),IF(OR(E$33="SendGrid"),IF($B$3="CA",Assumptions!$C$49,Assumptions!$D$49),IF(OR(E$33="Postmark",AND(E$33="Best",$B$3="CA")),IF($B$3="CA",Assumptions!$C$50,Assumptions!$D$50),IF($B$21&lt;=IF($B$3="CA",Assumptions!$C$52,Assumptions!$D$52),0,IF($B$3="CA",Assumptions!$C$51,Assumptions!$D$51)))))</f>
        <v>500</v>
      </c>
      <c r="F60" s="26" t="n">
        <f aca="false">IF($B$2="C",IF(F$33="SendGrid",IF($B$3="CA",Assumptions!$C$54,Assumptions!$D$54),IF($B$3="CA",Assumptions!$C$53,Assumptions!$D$53)),IF(OR(F$33="SendGrid"),IF($B$3="CA",Assumptions!$C$49,Assumptions!$D$49),IF(OR(F$33="Postmark",AND(F$33="Best",$B$3="CA")),IF($B$3="CA",Assumptions!$C$50,Assumptions!$D$50),IF($B$21&lt;=IF($B$3="CA",Assumptions!$C$52,Assumptions!$D$52),0,IF($B$3="CA",Assumptions!$C$51,Assumptions!$D$51)))))</f>
        <v>500</v>
      </c>
      <c r="G60" s="26" t="n">
        <f aca="false">IF($B$2="C",IF(G$33="SendGrid",IF($B$3="CA",Assumptions!$C$54,Assumptions!$D$54),IF($B$3="CA",Assumptions!$C$53,Assumptions!$D$53)),IF(OR(G$33="SendGrid"),IF($B$3="CA",Assumptions!$C$49,Assumptions!$D$49),IF(OR(G$33="Postmark",AND(G$33="Best",$B$3="CA")),IF($B$3="CA",Assumptions!$C$50,Assumptions!$D$50),IF($B$21&lt;=IF($B$3="CA",Assumptions!$C$52,Assumptions!$D$52),0,IF($B$3="CA",Assumptions!$C$51,Assumptions!$D$51)))))</f>
        <v>89.95</v>
      </c>
    </row>
    <row r="61" customFormat="false" ht="15" hidden="false" customHeight="false" outlineLevel="0" collapsed="false">
      <c r="A61" s="18" t="s">
        <v>246</v>
      </c>
      <c r="C61" s="27" t="n">
        <f aca="false">SUM(C50:C60)</f>
        <v>17875.0224</v>
      </c>
      <c r="D61" s="27" t="n">
        <f aca="false">SUM(D50:D60)</f>
        <v>14752.65448</v>
      </c>
      <c r="E61" s="27" t="n">
        <f aca="false">SUM(E50:E60)</f>
        <v>13400.55224</v>
      </c>
      <c r="F61" s="27" t="n">
        <f aca="false">SUM(F50:F60)</f>
        <v>12122.305404</v>
      </c>
      <c r="G61" s="27" t="n">
        <f aca="false">SUM(G50:G60)</f>
        <v>21844.28</v>
      </c>
    </row>
    <row r="62" customFormat="false" ht="15" hidden="false" customHeight="false" outlineLevel="0" collapsed="false">
      <c r="A62" s="2" t="s">
        <v>247</v>
      </c>
      <c r="C62" s="26" t="n">
        <f aca="false">C61/$B$6</f>
        <v>357.500448</v>
      </c>
      <c r="D62" s="26" t="n">
        <f aca="false">D61/$B$6</f>
        <v>295.0530896</v>
      </c>
      <c r="E62" s="26" t="n">
        <f aca="false">E61/$B$6</f>
        <v>268.0110448</v>
      </c>
      <c r="F62" s="26" t="n">
        <f aca="false">F61/$B$6</f>
        <v>242.44610808</v>
      </c>
      <c r="G62" s="26" t="n">
        <f aca="false">G61/$B$6</f>
        <v>436.8856</v>
      </c>
    </row>
    <row r="63" customFormat="false" ht="15" hidden="false" customHeight="false" outlineLevel="0" collapsed="false">
      <c r="A63" s="2" t="s">
        <v>248</v>
      </c>
      <c r="C63" s="26" t="n">
        <f aca="false">IF($B$27=0,0,C61/$B$27)</f>
        <v>0.528325785221675</v>
      </c>
      <c r="D63" s="26" t="n">
        <f aca="false">IF($B$27=0,0,D61/$B$27)</f>
        <v>0.436039048669951</v>
      </c>
      <c r="E63" s="26" t="n">
        <f aca="false">IF($B$27=0,0,E61/$B$27)</f>
        <v>0.396075435665025</v>
      </c>
      <c r="F63" s="26" t="n">
        <f aca="false">IF($B$27=0,0,F61/$B$27)</f>
        <v>0.358294741004926</v>
      </c>
      <c r="G63" s="26" t="n">
        <f aca="false">IF($B$27=0,0,G61/$B$27)</f>
        <v>0.645643743842365</v>
      </c>
    </row>
    <row r="64" customFormat="false" ht="15" hidden="false" customHeight="false" outlineLevel="0" collapsed="false">
      <c r="A64" s="2" t="s">
        <v>249</v>
      </c>
      <c r="C64" s="25" t="n">
        <f aca="false">IF(C61=0,0,SUM(C56:C58)/C61)</f>
        <v>0.50307629264845</v>
      </c>
      <c r="D64" s="25" t="n">
        <f aca="false">IF(D61=0,0,SUM(D56:D58)/D61)</f>
        <v>0.571829294276266</v>
      </c>
      <c r="E64" s="25" t="n">
        <f aca="false">IF(E61=0,0,SUM(E56:E58)/E61)</f>
        <v>0.629526294805892</v>
      </c>
      <c r="F64" s="25" t="n">
        <f aca="false">IF(F61=0,0,SUM(F56:F58)/F61)</f>
        <v>0.695907232069601</v>
      </c>
      <c r="G64" s="25" t="n">
        <f aca="false">IF(G61=0,0,SUM(G56:G58)/G61)</f>
        <v>0.411663831446951</v>
      </c>
    </row>
    <row r="65" customFormat="false" ht="15" hidden="false" customHeight="false" outlineLevel="0" collapsed="false">
      <c r="A65" s="2" t="s">
        <v>250</v>
      </c>
      <c r="C65" s="25" t="n">
        <f aca="false">IF(C61=0,0,C59/C61)</f>
        <v>0.186322697978829</v>
      </c>
      <c r="D65" s="25" t="n">
        <f aca="false">IF(D61=0,0,D59/D61)</f>
        <v>0.183302908887757</v>
      </c>
      <c r="E65" s="25" t="n">
        <f aca="false">IF(E61=0,0,E59/E61)</f>
        <v>0.100898993995489</v>
      </c>
      <c r="F65" s="25" t="n">
        <f aca="false">IF(F61=0,0,F59/F61)</f>
        <v>0.00609252130998365</v>
      </c>
      <c r="G65" s="25" t="n">
        <f aca="false">IF(G61=0,0,G59/G61)</f>
        <v>0.334173522771179</v>
      </c>
    </row>
    <row r="67" customFormat="false" ht="15" hidden="false" customHeight="false" outlineLevel="0" collapsed="false">
      <c r="A67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9" min="2" style="0" width="20"/>
  </cols>
  <sheetData>
    <row r="1" customFormat="false" ht="16.15" hidden="false" customHeight="false" outlineLevel="0" collapsed="false">
      <c r="A1" s="1" t="s">
        <v>259</v>
      </c>
    </row>
    <row r="3" customFormat="false" ht="45" hidden="false" customHeight="true" outlineLevel="0" collapsed="false">
      <c r="A3" s="18" t="s">
        <v>260</v>
      </c>
      <c r="B3" s="22" t="s">
        <v>199</v>
      </c>
      <c r="C3" s="22" t="s">
        <v>200</v>
      </c>
      <c r="D3" s="22" t="s">
        <v>201</v>
      </c>
      <c r="E3" s="22" t="s">
        <v>202</v>
      </c>
      <c r="F3" s="22" t="s">
        <v>203</v>
      </c>
    </row>
    <row r="4" customFormat="false" ht="15" hidden="false" customHeight="false" outlineLevel="0" collapsed="false">
      <c r="A4" s="18" t="s">
        <v>246</v>
      </c>
    </row>
    <row r="5" customFormat="false" ht="15" hidden="false" customHeight="false" outlineLevel="0" collapsed="false">
      <c r="A5" s="2" t="s">
        <v>261</v>
      </c>
      <c r="B5" s="28" t="n">
        <f aca="false">'A-Canada'!C61</f>
        <v>114.40666</v>
      </c>
      <c r="C5" s="28" t="n">
        <f aca="false">'A-Canada'!D61</f>
        <v>87.5044352</v>
      </c>
      <c r="D5" s="28" t="n">
        <f aca="false">'A-Canada'!E61</f>
        <v>80.3882176</v>
      </c>
      <c r="E5" s="28" t="n">
        <f aca="false">'A-Canada'!F61</f>
        <v>73.65779896</v>
      </c>
      <c r="F5" s="28" t="n">
        <f aca="false">'A-Canada'!G61</f>
        <v>127.03322</v>
      </c>
    </row>
    <row r="6" customFormat="false" ht="15" hidden="false" customHeight="false" outlineLevel="0" collapsed="false">
      <c r="A6" s="2" t="s">
        <v>262</v>
      </c>
      <c r="B6" s="28" t="n">
        <f aca="false">'A-US'!C61</f>
        <v>113.84126</v>
      </c>
      <c r="C6" s="28" t="n">
        <f aca="false">'A-US'!D61</f>
        <v>72.2886352</v>
      </c>
      <c r="D6" s="28" t="n">
        <f aca="false">'A-US'!E61</f>
        <v>65.1724176</v>
      </c>
      <c r="E6" s="28" t="n">
        <f aca="false">'A-US'!F61</f>
        <v>58.44199896</v>
      </c>
      <c r="F6" s="28" t="n">
        <f aca="false">'A-US'!G61</f>
        <v>126.46782</v>
      </c>
    </row>
    <row r="7" customFormat="false" ht="15" hidden="false" customHeight="false" outlineLevel="0" collapsed="false">
      <c r="A7" s="2" t="s">
        <v>263</v>
      </c>
      <c r="B7" s="28" t="n">
        <f aca="false">'B-Canada'!C61</f>
        <v>390.978448</v>
      </c>
      <c r="C7" s="28" t="n">
        <f aca="false">'B-Canada'!D61</f>
        <v>315.6320896</v>
      </c>
      <c r="D7" s="28" t="n">
        <f aca="false">'B-Canada'!E61</f>
        <v>288.5900448</v>
      </c>
      <c r="E7" s="28" t="n">
        <f aca="false">'B-Canada'!F61</f>
        <v>263.02510808</v>
      </c>
      <c r="F7" s="28" t="n">
        <f aca="false">'B-Canada'!G61</f>
        <v>470.3636</v>
      </c>
    </row>
    <row r="8" customFormat="false" ht="15" hidden="false" customHeight="false" outlineLevel="0" collapsed="false">
      <c r="A8" s="2" t="s">
        <v>264</v>
      </c>
      <c r="B8" s="28" t="n">
        <f aca="false">'B-US'!C61</f>
        <v>375.651448</v>
      </c>
      <c r="C8" s="28" t="n">
        <f aca="false">'B-US'!D61</f>
        <v>384.0530896</v>
      </c>
      <c r="D8" s="28" t="n">
        <f aca="false">'B-US'!E61</f>
        <v>357.0110448</v>
      </c>
      <c r="E8" s="28" t="n">
        <f aca="false">'B-US'!F61</f>
        <v>331.44610808</v>
      </c>
      <c r="F8" s="28" t="n">
        <f aca="false">'B-US'!G61</f>
        <v>455.0366</v>
      </c>
    </row>
    <row r="9" customFormat="false" ht="15" hidden="false" customHeight="false" outlineLevel="0" collapsed="false">
      <c r="A9" s="2" t="s">
        <v>265</v>
      </c>
      <c r="B9" s="28" t="n">
        <f aca="false">'C-Canada'!C61</f>
        <v>18641.3724</v>
      </c>
      <c r="C9" s="28" t="n">
        <f aca="false">'C-Canada'!D61</f>
        <v>15124.60448</v>
      </c>
      <c r="D9" s="28" t="n">
        <f aca="false">'C-Canada'!E61</f>
        <v>13772.50224</v>
      </c>
      <c r="E9" s="28" t="n">
        <f aca="false">'C-Canada'!F61</f>
        <v>12494.255404</v>
      </c>
      <c r="F9" s="28" t="n">
        <f aca="false">'C-Canada'!G61</f>
        <v>22610.63</v>
      </c>
    </row>
    <row r="10" customFormat="false" ht="15" hidden="false" customHeight="false" outlineLevel="0" collapsed="false">
      <c r="A10" s="2" t="s">
        <v>266</v>
      </c>
      <c r="B10" s="28" t="n">
        <f aca="false">'C-US'!C61</f>
        <v>17875.0224</v>
      </c>
      <c r="C10" s="28" t="n">
        <f aca="false">'C-US'!D61</f>
        <v>14752.65448</v>
      </c>
      <c r="D10" s="28" t="n">
        <f aca="false">'C-US'!E61</f>
        <v>13400.55224</v>
      </c>
      <c r="E10" s="28" t="n">
        <f aca="false">'C-US'!F61</f>
        <v>12122.305404</v>
      </c>
      <c r="F10" s="28" t="n">
        <f aca="false">'C-US'!G61</f>
        <v>21844.28</v>
      </c>
    </row>
    <row r="12" customFormat="false" ht="15" hidden="false" customHeight="false" outlineLevel="0" collapsed="false">
      <c r="A12" s="18" t="s">
        <v>267</v>
      </c>
    </row>
    <row r="13" customFormat="false" ht="15" hidden="false" customHeight="false" outlineLevel="0" collapsed="false">
      <c r="A13" s="2" t="s">
        <v>261</v>
      </c>
      <c r="B13" s="28" t="n">
        <f aca="false">'A-Canada'!C62</f>
        <v>114.40666</v>
      </c>
      <c r="C13" s="28" t="n">
        <f aca="false">'A-Canada'!D62</f>
        <v>87.5044352</v>
      </c>
      <c r="D13" s="28" t="n">
        <f aca="false">'A-Canada'!E62</f>
        <v>80.3882176</v>
      </c>
      <c r="E13" s="28" t="n">
        <f aca="false">'A-Canada'!F62</f>
        <v>73.65779896</v>
      </c>
      <c r="F13" s="28" t="n">
        <f aca="false">'A-Canada'!G62</f>
        <v>127.03322</v>
      </c>
    </row>
    <row r="14" customFormat="false" ht="15" hidden="false" customHeight="false" outlineLevel="0" collapsed="false">
      <c r="A14" s="2" t="s">
        <v>262</v>
      </c>
      <c r="B14" s="28" t="n">
        <f aca="false">'A-US'!C62</f>
        <v>113.84126</v>
      </c>
      <c r="C14" s="28" t="n">
        <f aca="false">'A-US'!D62</f>
        <v>72.2886352</v>
      </c>
      <c r="D14" s="28" t="n">
        <f aca="false">'A-US'!E62</f>
        <v>65.1724176</v>
      </c>
      <c r="E14" s="28" t="n">
        <f aca="false">'A-US'!F62</f>
        <v>58.44199896</v>
      </c>
      <c r="F14" s="28" t="n">
        <f aca="false">'A-US'!G62</f>
        <v>126.46782</v>
      </c>
    </row>
    <row r="15" customFormat="false" ht="15" hidden="false" customHeight="false" outlineLevel="0" collapsed="false">
      <c r="A15" s="2" t="s">
        <v>263</v>
      </c>
      <c r="B15" s="28" t="n">
        <f aca="false">'B-Canada'!C62</f>
        <v>390.978448</v>
      </c>
      <c r="C15" s="28" t="n">
        <f aca="false">'B-Canada'!D62</f>
        <v>315.6320896</v>
      </c>
      <c r="D15" s="28" t="n">
        <f aca="false">'B-Canada'!E62</f>
        <v>288.5900448</v>
      </c>
      <c r="E15" s="28" t="n">
        <f aca="false">'B-Canada'!F62</f>
        <v>263.02510808</v>
      </c>
      <c r="F15" s="28" t="n">
        <f aca="false">'B-Canada'!G62</f>
        <v>470.3636</v>
      </c>
    </row>
    <row r="16" customFormat="false" ht="15" hidden="false" customHeight="false" outlineLevel="0" collapsed="false">
      <c r="A16" s="2" t="s">
        <v>264</v>
      </c>
      <c r="B16" s="28" t="n">
        <f aca="false">'B-US'!C62</f>
        <v>375.651448</v>
      </c>
      <c r="C16" s="28" t="n">
        <f aca="false">'B-US'!D62</f>
        <v>384.0530896</v>
      </c>
      <c r="D16" s="28" t="n">
        <f aca="false">'B-US'!E62</f>
        <v>357.0110448</v>
      </c>
      <c r="E16" s="28" t="n">
        <f aca="false">'B-US'!F62</f>
        <v>331.44610808</v>
      </c>
      <c r="F16" s="28" t="n">
        <f aca="false">'B-US'!G62</f>
        <v>455.0366</v>
      </c>
    </row>
    <row r="17" customFormat="false" ht="15" hidden="false" customHeight="false" outlineLevel="0" collapsed="false">
      <c r="A17" s="2" t="s">
        <v>265</v>
      </c>
      <c r="B17" s="28" t="n">
        <f aca="false">'C-Canada'!C62</f>
        <v>372.827448</v>
      </c>
      <c r="C17" s="28" t="n">
        <f aca="false">'C-Canada'!D62</f>
        <v>302.4920896</v>
      </c>
      <c r="D17" s="28" t="n">
        <f aca="false">'C-Canada'!E62</f>
        <v>275.4500448</v>
      </c>
      <c r="E17" s="28" t="n">
        <f aca="false">'C-Canada'!F62</f>
        <v>249.88510808</v>
      </c>
      <c r="F17" s="28" t="n">
        <f aca="false">'C-Canada'!G62</f>
        <v>452.2126</v>
      </c>
    </row>
    <row r="18" customFormat="false" ht="15" hidden="false" customHeight="false" outlineLevel="0" collapsed="false">
      <c r="A18" s="2" t="s">
        <v>266</v>
      </c>
      <c r="B18" s="28" t="n">
        <f aca="false">'C-US'!C62</f>
        <v>357.500448</v>
      </c>
      <c r="C18" s="28" t="n">
        <f aca="false">'C-US'!D62</f>
        <v>295.0530896</v>
      </c>
      <c r="D18" s="28" t="n">
        <f aca="false">'C-US'!E62</f>
        <v>268.0110448</v>
      </c>
      <c r="E18" s="28" t="n">
        <f aca="false">'C-US'!F62</f>
        <v>242.44610808</v>
      </c>
      <c r="F18" s="28" t="n">
        <f aca="false">'C-US'!G62</f>
        <v>436.8856</v>
      </c>
    </row>
    <row r="20" customFormat="false" ht="15" hidden="false" customHeight="false" outlineLevel="0" collapsed="false">
      <c r="A20" s="18" t="s">
        <v>248</v>
      </c>
    </row>
    <row r="21" customFormat="false" ht="15" hidden="false" customHeight="false" outlineLevel="0" collapsed="false">
      <c r="A21" s="2" t="s">
        <v>261</v>
      </c>
      <c r="B21" s="28" t="n">
        <f aca="false">'A-Canada'!C63</f>
        <v>0.68643996</v>
      </c>
      <c r="C21" s="28" t="n">
        <f aca="false">'A-Canada'!D63</f>
        <v>0.5250266112</v>
      </c>
      <c r="D21" s="28" t="n">
        <f aca="false">'A-Canada'!E63</f>
        <v>0.4823293056</v>
      </c>
      <c r="E21" s="28" t="n">
        <f aca="false">'A-Canada'!F63</f>
        <v>0.44194679376</v>
      </c>
      <c r="F21" s="28" t="n">
        <f aca="false">'A-Canada'!G63</f>
        <v>0.76219932</v>
      </c>
    </row>
    <row r="22" customFormat="false" ht="15" hidden="false" customHeight="false" outlineLevel="0" collapsed="false">
      <c r="A22" s="2" t="s">
        <v>262</v>
      </c>
      <c r="B22" s="28" t="n">
        <f aca="false">'A-US'!C63</f>
        <v>0.68304756</v>
      </c>
      <c r="C22" s="28" t="n">
        <f aca="false">'A-US'!D63</f>
        <v>0.4337318112</v>
      </c>
      <c r="D22" s="28" t="n">
        <f aca="false">'A-US'!E63</f>
        <v>0.3910345056</v>
      </c>
      <c r="E22" s="28" t="n">
        <f aca="false">'A-US'!F63</f>
        <v>0.35065199376</v>
      </c>
      <c r="F22" s="28" t="n">
        <f aca="false">'A-US'!G63</f>
        <v>0.75880692</v>
      </c>
    </row>
    <row r="23" customFormat="false" ht="15" hidden="false" customHeight="false" outlineLevel="0" collapsed="false">
      <c r="A23" s="2" t="s">
        <v>263</v>
      </c>
      <c r="B23" s="28" t="n">
        <f aca="false">'B-Canada'!C63</f>
        <v>0.577800662068966</v>
      </c>
      <c r="C23" s="28" t="n">
        <f aca="false">'B-Canada'!D63</f>
        <v>0.466451363940887</v>
      </c>
      <c r="D23" s="28" t="n">
        <f aca="false">'B-Canada'!E63</f>
        <v>0.426487750935961</v>
      </c>
      <c r="E23" s="28" t="n">
        <f aca="false">'B-Canada'!F63</f>
        <v>0.388707056275862</v>
      </c>
      <c r="F23" s="28" t="n">
        <f aca="false">'B-Canada'!G63</f>
        <v>0.695118620689655</v>
      </c>
    </row>
    <row r="24" customFormat="false" ht="15" hidden="false" customHeight="false" outlineLevel="0" collapsed="false">
      <c r="A24" s="2" t="s">
        <v>264</v>
      </c>
      <c r="B24" s="28" t="n">
        <f aca="false">'B-US'!C63</f>
        <v>0.555149923152709</v>
      </c>
      <c r="C24" s="28" t="n">
        <f aca="false">'B-US'!D63</f>
        <v>0.56756614226601</v>
      </c>
      <c r="D24" s="28" t="n">
        <f aca="false">'B-US'!E63</f>
        <v>0.527602529261084</v>
      </c>
      <c r="E24" s="28" t="n">
        <f aca="false">'B-US'!F63</f>
        <v>0.489821834600985</v>
      </c>
      <c r="F24" s="28" t="n">
        <f aca="false">'B-US'!G63</f>
        <v>0.672467881773399</v>
      </c>
    </row>
    <row r="25" customFormat="false" ht="15" hidden="false" customHeight="false" outlineLevel="0" collapsed="false">
      <c r="A25" s="2" t="s">
        <v>265</v>
      </c>
      <c r="B25" s="28" t="n">
        <f aca="false">'C-Canada'!C63</f>
        <v>0.550976524137931</v>
      </c>
      <c r="C25" s="28" t="n">
        <f aca="false">'C-Canada'!D63</f>
        <v>0.447032644729064</v>
      </c>
      <c r="D25" s="28" t="n">
        <f aca="false">'C-Canada'!E63</f>
        <v>0.407069031724138</v>
      </c>
      <c r="E25" s="28" t="n">
        <f aca="false">'C-Canada'!F63</f>
        <v>0.369288337064039</v>
      </c>
      <c r="F25" s="28" t="n">
        <f aca="false">'C-Canada'!G63</f>
        <v>0.668294482758621</v>
      </c>
    </row>
    <row r="26" customFormat="false" ht="15" hidden="false" customHeight="false" outlineLevel="0" collapsed="false">
      <c r="A26" s="2" t="s">
        <v>266</v>
      </c>
      <c r="B26" s="28" t="n">
        <f aca="false">'C-US'!C63</f>
        <v>0.528325785221675</v>
      </c>
      <c r="C26" s="28" t="n">
        <f aca="false">'C-US'!D63</f>
        <v>0.436039048669951</v>
      </c>
      <c r="D26" s="28" t="n">
        <f aca="false">'C-US'!E63</f>
        <v>0.396075435665025</v>
      </c>
      <c r="E26" s="28" t="n">
        <f aca="false">'C-US'!F63</f>
        <v>0.358294741004926</v>
      </c>
      <c r="F26" s="28" t="n">
        <f aca="false">'C-US'!G63</f>
        <v>0.645643743842365</v>
      </c>
    </row>
    <row r="28" customFormat="false" ht="15" hidden="false" customHeight="false" outlineLevel="0" collapsed="false">
      <c r="A28" s="18" t="s">
        <v>268</v>
      </c>
    </row>
    <row r="29" customFormat="false" ht="15" hidden="false" customHeight="false" outlineLevel="0" collapsed="false">
      <c r="A29" s="2" t="s">
        <v>261</v>
      </c>
      <c r="B29" s="29" t="n">
        <f aca="false">'A-Canada'!C64</f>
        <v>0.393005966610685</v>
      </c>
      <c r="C29" s="29" t="n">
        <f aca="false">'A-Canada'!D64</f>
        <v>0.482032709583159</v>
      </c>
      <c r="D29" s="29" t="n">
        <f aca="false">'A-Canada'!E64</f>
        <v>0.52470375957185</v>
      </c>
      <c r="E29" s="29" t="n">
        <f aca="false">'A-Canada'!F64</f>
        <v>0.572648118672483</v>
      </c>
      <c r="F29" s="29" t="n">
        <f aca="false">'A-Canada'!G64</f>
        <v>0.35394285053941</v>
      </c>
    </row>
    <row r="30" customFormat="false" ht="15" hidden="false" customHeight="false" outlineLevel="0" collapsed="false">
      <c r="A30" s="2" t="s">
        <v>262</v>
      </c>
      <c r="B30" s="29" t="n">
        <f aca="false">'A-US'!C64</f>
        <v>0.394957856228928</v>
      </c>
      <c r="C30" s="29" t="n">
        <f aca="false">'A-US'!D64</f>
        <v>0.583494208782628</v>
      </c>
      <c r="D30" s="29" t="n">
        <f aca="false">'A-US'!E64</f>
        <v>0.647206311401282</v>
      </c>
      <c r="E30" s="29" t="n">
        <f aca="false">'A-US'!F64</f>
        <v>0.72174122635452</v>
      </c>
      <c r="F30" s="29" t="n">
        <f aca="false">'A-US'!G64</f>
        <v>0.355525223728851</v>
      </c>
    </row>
    <row r="31" customFormat="false" ht="15" hidden="false" customHeight="false" outlineLevel="0" collapsed="false">
      <c r="A31" s="2" t="s">
        <v>263</v>
      </c>
      <c r="B31" s="29" t="n">
        <f aca="false">'B-Canada'!C64</f>
        <v>0.459999779834412</v>
      </c>
      <c r="C31" s="29" t="n">
        <f aca="false">'B-Canada'!D64</f>
        <v>0.534546408807224</v>
      </c>
      <c r="D31" s="29" t="n">
        <f aca="false">'B-Canada'!E64</f>
        <v>0.584635551503265</v>
      </c>
      <c r="E31" s="29" t="n">
        <f aca="false">'B-Canada'!F64</f>
        <v>0.641459673685157</v>
      </c>
      <c r="F31" s="29" t="n">
        <f aca="false">'B-Canada'!G64</f>
        <v>0.382363771346252</v>
      </c>
    </row>
    <row r="32" customFormat="false" ht="15" hidden="false" customHeight="false" outlineLevel="0" collapsed="false">
      <c r="A32" s="2" t="s">
        <v>264</v>
      </c>
      <c r="B32" s="29" t="n">
        <f aca="false">'B-US'!C64</f>
        <v>0.478768286286494</v>
      </c>
      <c r="C32" s="29" t="n">
        <f aca="false">'B-US'!D64</f>
        <v>0.439314262972668</v>
      </c>
      <c r="D32" s="29" t="n">
        <f aca="false">'B-US'!E64</f>
        <v>0.472590421101728</v>
      </c>
      <c r="E32" s="29" t="n">
        <f aca="false">'B-US'!F64</f>
        <v>0.509042030927322</v>
      </c>
      <c r="F32" s="29" t="n">
        <f aca="false">'B-US'!G64</f>
        <v>0.395242932107</v>
      </c>
    </row>
    <row r="33" customFormat="false" ht="15" hidden="false" customHeight="false" outlineLevel="0" collapsed="false">
      <c r="A33" s="2" t="s">
        <v>265</v>
      </c>
      <c r="B33" s="29" t="n">
        <f aca="false">'C-Canada'!C64</f>
        <v>0.48239474042158</v>
      </c>
      <c r="C33" s="29" t="n">
        <f aca="false">'C-Canada'!D64</f>
        <v>0.557766651759742</v>
      </c>
      <c r="D33" s="29" t="n">
        <f aca="false">'C-Canada'!E64</f>
        <v>0.612524859534893</v>
      </c>
      <c r="E33" s="29" t="n">
        <f aca="false">'C-Canada'!F64</f>
        <v>0.675190295637725</v>
      </c>
      <c r="F33" s="29" t="n">
        <f aca="false">'C-Canada'!G64</f>
        <v>0.397711165058205</v>
      </c>
    </row>
    <row r="34" customFormat="false" ht="15" hidden="false" customHeight="false" outlineLevel="0" collapsed="false">
      <c r="A34" s="2" t="s">
        <v>266</v>
      </c>
      <c r="B34" s="29" t="n">
        <f aca="false">'C-US'!C64</f>
        <v>0.50307629264845</v>
      </c>
      <c r="C34" s="29" t="n">
        <f aca="false">'C-US'!D64</f>
        <v>0.571829294276266</v>
      </c>
      <c r="D34" s="29" t="n">
        <f aca="false">'C-US'!E64</f>
        <v>0.629526294805892</v>
      </c>
      <c r="E34" s="29" t="n">
        <f aca="false">'C-US'!F64</f>
        <v>0.695907232069601</v>
      </c>
      <c r="F34" s="29" t="n">
        <f aca="false">'C-US'!G64</f>
        <v>0.411663831446951</v>
      </c>
    </row>
    <row r="36" customFormat="false" ht="15" hidden="false" customHeight="false" outlineLevel="0" collapsed="false">
      <c r="A36" s="18" t="s">
        <v>269</v>
      </c>
    </row>
    <row r="37" customFormat="false" ht="15" hidden="false" customHeight="false" outlineLevel="0" collapsed="false">
      <c r="A37" s="2" t="s">
        <v>261</v>
      </c>
      <c r="B37" s="29" t="n">
        <f aca="false">'A-Canada'!C65</f>
        <v>0.202209906311398</v>
      </c>
      <c r="C37" s="29" t="n">
        <f aca="false">'A-Canada'!D65</f>
        <v>0.162648157975883</v>
      </c>
      <c r="D37" s="29" t="n">
        <f aca="false">'A-Canada'!E65</f>
        <v>0.0885231419784583</v>
      </c>
      <c r="E37" s="29" t="n">
        <f aca="false">'A-Canada'!F65</f>
        <v>0.00523772045115696</v>
      </c>
      <c r="F37" s="29" t="n">
        <f aca="false">'A-Canada'!G65</f>
        <v>0.281506837345381</v>
      </c>
    </row>
    <row r="38" customFormat="false" ht="15" hidden="false" customHeight="false" outlineLevel="0" collapsed="false">
      <c r="A38" s="2" t="s">
        <v>262</v>
      </c>
      <c r="B38" s="29" t="n">
        <f aca="false">'A-US'!C65</f>
        <v>0.203214194923703</v>
      </c>
      <c r="C38" s="29" t="n">
        <f aca="false">'A-US'!D65</f>
        <v>0.196883440400048</v>
      </c>
      <c r="D38" s="29" t="n">
        <f aca="false">'A-US'!E65</f>
        <v>0.109190634045161</v>
      </c>
      <c r="E38" s="29" t="n">
        <f aca="false">'A-US'!F65</f>
        <v>0.00660139911134895</v>
      </c>
      <c r="F38" s="29" t="n">
        <f aca="false">'A-US'!G65</f>
        <v>0.282765370668997</v>
      </c>
    </row>
    <row r="39" customFormat="false" ht="15" hidden="false" customHeight="false" outlineLevel="0" collapsed="false">
      <c r="A39" s="2" t="s">
        <v>263</v>
      </c>
      <c r="B39" s="29" t="n">
        <f aca="false">'B-Canada'!C65</f>
        <v>0.170368592797729</v>
      </c>
      <c r="C39" s="29" t="n">
        <f aca="false">'B-Canada'!D65</f>
        <v>0.171351682487483</v>
      </c>
      <c r="D39" s="29" t="n">
        <f aca="false">'B-Canada'!E65</f>
        <v>0.0937040112341394</v>
      </c>
      <c r="E39" s="29" t="n">
        <f aca="false">'B-Canada'!F65</f>
        <v>0.00561584439897172</v>
      </c>
      <c r="F39" s="29" t="n">
        <f aca="false">'B-Canada'!G65</f>
        <v>0.310388814100411</v>
      </c>
    </row>
    <row r="40" customFormat="false" ht="15" hidden="false" customHeight="false" outlineLevel="0" collapsed="false">
      <c r="A40" s="2" t="s">
        <v>264</v>
      </c>
      <c r="B40" s="29" t="n">
        <f aca="false">'B-US'!C65</f>
        <v>0.177319822283768</v>
      </c>
      <c r="C40" s="29" t="n">
        <f aca="false">'B-US'!D65</f>
        <v>0.140824513757538</v>
      </c>
      <c r="D40" s="29" t="n">
        <f aca="false">'B-US'!E65</f>
        <v>0.075745681243977</v>
      </c>
      <c r="E40" s="29" t="n">
        <f aca="false">'B-US'!F65</f>
        <v>0.00445655581402536</v>
      </c>
      <c r="F40" s="29" t="n">
        <f aca="false">'B-US'!G65</f>
        <v>0.320843642027916</v>
      </c>
    </row>
    <row r="41" customFormat="false" ht="15" hidden="false" customHeight="false" outlineLevel="0" collapsed="false">
      <c r="A41" s="2" t="s">
        <v>265</v>
      </c>
      <c r="B41" s="29" t="n">
        <f aca="false">'C-Canada'!C65</f>
        <v>0.17866294007409</v>
      </c>
      <c r="C41" s="29" t="n">
        <f aca="false">'C-Canada'!D65</f>
        <v>0.178795054348423</v>
      </c>
      <c r="D41" s="29" t="n">
        <f aca="false">'C-Canada'!E65</f>
        <v>0.0981740439346627</v>
      </c>
      <c r="E41" s="29" t="n">
        <f aca="false">'C-Canada'!F65</f>
        <v>0.00591114889298288</v>
      </c>
      <c r="F41" s="29" t="n">
        <f aca="false">'C-Canada'!G65</f>
        <v>0.322847262548633</v>
      </c>
    </row>
    <row r="42" customFormat="false" ht="15" hidden="false" customHeight="false" outlineLevel="0" collapsed="false">
      <c r="A42" s="2" t="s">
        <v>266</v>
      </c>
      <c r="B42" s="29" t="n">
        <f aca="false">'C-US'!C65</f>
        <v>0.186322697978829</v>
      </c>
      <c r="C42" s="29" t="n">
        <f aca="false">'C-US'!D65</f>
        <v>0.183302908887757</v>
      </c>
      <c r="D42" s="29" t="n">
        <f aca="false">'C-US'!E65</f>
        <v>0.100898993995489</v>
      </c>
      <c r="E42" s="29" t="n">
        <f aca="false">'C-US'!F65</f>
        <v>0.00609252130998365</v>
      </c>
      <c r="F42" s="29" t="n">
        <f aca="false">'C-US'!G65</f>
        <v>0.334173522771179</v>
      </c>
    </row>
    <row r="44" customFormat="false" ht="15" hidden="false" customHeight="false" outlineLevel="0" collapsed="false">
      <c r="A44" s="18" t="s">
        <v>270</v>
      </c>
    </row>
    <row r="45" customFormat="false" ht="15" hidden="false" customHeight="false" outlineLevel="0" collapsed="false">
      <c r="B45" s="4" t="s">
        <v>261</v>
      </c>
      <c r="C45" s="4" t="s">
        <v>262</v>
      </c>
      <c r="D45" s="4" t="s">
        <v>263</v>
      </c>
      <c r="E45" s="4" t="s">
        <v>264</v>
      </c>
      <c r="F45" s="4" t="s">
        <v>265</v>
      </c>
      <c r="G45" s="4" t="s">
        <v>266</v>
      </c>
    </row>
    <row r="46" customFormat="false" ht="15" hidden="false" customHeight="false" outlineLevel="0" collapsed="false">
      <c r="A46" s="2" t="s">
        <v>235</v>
      </c>
      <c r="B46" s="28" t="n">
        <f aca="false">'A-Canada'!D50</f>
        <v>12.72</v>
      </c>
      <c r="C46" s="28" t="n">
        <f aca="false">'A-US'!D50</f>
        <v>10.8792</v>
      </c>
      <c r="D46" s="28" t="n">
        <f aca="false">'B-Canada'!D50</f>
        <v>63.6</v>
      </c>
      <c r="E46" s="28" t="n">
        <f aca="false">'B-US'!D50</f>
        <v>54.396</v>
      </c>
      <c r="F46" s="28" t="n">
        <f aca="false">'C-Canada'!D50</f>
        <v>3180</v>
      </c>
      <c r="G46" s="28" t="n">
        <f aca="false">'C-US'!D50</f>
        <v>2719.8</v>
      </c>
    </row>
    <row r="47" customFormat="false" ht="15" hidden="false" customHeight="false" outlineLevel="0" collapsed="false">
      <c r="A47" s="2" t="s">
        <v>236</v>
      </c>
      <c r="B47" s="28" t="n">
        <f aca="false">'A-Canada'!D51</f>
        <v>0</v>
      </c>
      <c r="C47" s="28" t="n">
        <f aca="false">'A-US'!D51</f>
        <v>3.625</v>
      </c>
      <c r="D47" s="28" t="n">
        <f aca="false">'B-Canada'!D51</f>
        <v>0</v>
      </c>
      <c r="E47" s="28" t="n">
        <f aca="false">'B-US'!D51</f>
        <v>3.625</v>
      </c>
      <c r="F47" s="28" t="n">
        <f aca="false">'C-Canada'!D51</f>
        <v>0</v>
      </c>
      <c r="G47" s="28" t="n">
        <f aca="false">'C-US'!D51</f>
        <v>181.25</v>
      </c>
    </row>
    <row r="48" customFormat="false" ht="15" hidden="false" customHeight="false" outlineLevel="0" collapsed="false">
      <c r="A48" s="2" t="s">
        <v>237</v>
      </c>
      <c r="B48" s="28" t="n">
        <f aca="false">'A-Canada'!D52</f>
        <v>1.1</v>
      </c>
      <c r="C48" s="28" t="n">
        <f aca="false">'A-US'!D52</f>
        <v>1.1</v>
      </c>
      <c r="D48" s="28" t="n">
        <f aca="false">'B-Canada'!D52</f>
        <v>1.1</v>
      </c>
      <c r="E48" s="28" t="n">
        <f aca="false">'B-US'!D52</f>
        <v>1.1</v>
      </c>
      <c r="F48" s="28" t="n">
        <f aca="false">'C-Canada'!D52</f>
        <v>55</v>
      </c>
      <c r="G48" s="28" t="n">
        <f aca="false">'C-US'!D52</f>
        <v>55</v>
      </c>
    </row>
    <row r="49" customFormat="false" ht="15" hidden="false" customHeight="false" outlineLevel="0" collapsed="false">
      <c r="A49" s="2" t="s">
        <v>238</v>
      </c>
      <c r="B49" s="28" t="n">
        <f aca="false">'A-Canada'!D53</f>
        <v>2.272</v>
      </c>
      <c r="C49" s="28" t="n">
        <f aca="false">'A-US'!D53</f>
        <v>0.272</v>
      </c>
      <c r="D49" s="28" t="n">
        <f aca="false">'B-Canada'!D53</f>
        <v>13.128</v>
      </c>
      <c r="E49" s="28" t="n">
        <f aca="false">'B-US'!D53</f>
        <v>3.128</v>
      </c>
      <c r="F49" s="28" t="n">
        <f aca="false">'C-Canada'!D53</f>
        <v>656.4</v>
      </c>
      <c r="G49" s="28" t="n">
        <f aca="false">'C-US'!D53</f>
        <v>156.4</v>
      </c>
    </row>
    <row r="50" customFormat="false" ht="15" hidden="false" customHeight="false" outlineLevel="0" collapsed="false">
      <c r="A50" s="2" t="s">
        <v>239</v>
      </c>
      <c r="B50" s="28" t="n">
        <f aca="false">'A-Canada'!D54</f>
        <v>0</v>
      </c>
      <c r="C50" s="28" t="n">
        <f aca="false">'A-US'!D54</f>
        <v>0</v>
      </c>
      <c r="D50" s="28" t="n">
        <f aca="false">'B-Canada'!D54</f>
        <v>0</v>
      </c>
      <c r="E50" s="28" t="n">
        <f aca="false">'B-US'!D54</f>
        <v>0</v>
      </c>
      <c r="F50" s="28" t="n">
        <f aca="false">'C-Canada'!D54</f>
        <v>0</v>
      </c>
      <c r="G50" s="28" t="n">
        <f aca="false">'C-US'!D54</f>
        <v>0</v>
      </c>
    </row>
    <row r="51" customFormat="false" ht="15" hidden="false" customHeight="false" outlineLevel="0" collapsed="false">
      <c r="A51" s="2" t="s">
        <v>240</v>
      </c>
      <c r="B51" s="28" t="n">
        <f aca="false">'A-Canada'!D55</f>
        <v>0</v>
      </c>
      <c r="C51" s="28" t="n">
        <f aca="false">'A-US'!D55</f>
        <v>0</v>
      </c>
      <c r="D51" s="28" t="n">
        <f aca="false">'B-Canada'!D55</f>
        <v>0</v>
      </c>
      <c r="E51" s="28" t="n">
        <f aca="false">'B-US'!D55</f>
        <v>0</v>
      </c>
      <c r="F51" s="28" t="n">
        <f aca="false">'C-Canada'!D55</f>
        <v>0</v>
      </c>
      <c r="G51" s="28" t="n">
        <f aca="false">'C-US'!D55</f>
        <v>0</v>
      </c>
    </row>
    <row r="52" customFormat="false" ht="15" hidden="false" customHeight="false" outlineLevel="0" collapsed="false">
      <c r="A52" s="2" t="s">
        <v>241</v>
      </c>
      <c r="B52" s="28" t="n">
        <f aca="false">'A-Canada'!D56</f>
        <v>36</v>
      </c>
      <c r="C52" s="28" t="n">
        <f aca="false">'A-US'!D56</f>
        <v>36</v>
      </c>
      <c r="D52" s="28" t="n">
        <f aca="false">'B-Canada'!D56</f>
        <v>144</v>
      </c>
      <c r="E52" s="28" t="n">
        <f aca="false">'B-US'!D56</f>
        <v>144</v>
      </c>
      <c r="F52" s="28" t="n">
        <f aca="false">'C-Canada'!D56</f>
        <v>7200</v>
      </c>
      <c r="G52" s="28" t="n">
        <f aca="false">'C-US'!D56</f>
        <v>7200</v>
      </c>
    </row>
    <row r="53" customFormat="false" ht="15" hidden="false" customHeight="false" outlineLevel="0" collapsed="false">
      <c r="A53" s="2" t="s">
        <v>242</v>
      </c>
      <c r="B53" s="28" t="n">
        <f aca="false">'A-Canada'!D57</f>
        <v>4.5</v>
      </c>
      <c r="C53" s="28" t="n">
        <f aca="false">'A-US'!D57</f>
        <v>4.5</v>
      </c>
      <c r="D53" s="28" t="n">
        <f aca="false">'B-Canada'!D57</f>
        <v>18</v>
      </c>
      <c r="E53" s="28" t="n">
        <f aca="false">'B-US'!D57</f>
        <v>18</v>
      </c>
      <c r="F53" s="28" t="n">
        <f aca="false">'C-Canada'!D57</f>
        <v>900</v>
      </c>
      <c r="G53" s="28" t="n">
        <f aca="false">'C-US'!D57</f>
        <v>900</v>
      </c>
    </row>
    <row r="54" customFormat="false" ht="15" hidden="false" customHeight="false" outlineLevel="0" collapsed="false">
      <c r="A54" s="2" t="s">
        <v>243</v>
      </c>
      <c r="B54" s="28" t="n">
        <f aca="false">'A-Canada'!D58</f>
        <v>1.68</v>
      </c>
      <c r="C54" s="28" t="n">
        <f aca="false">'A-US'!D58</f>
        <v>1.68</v>
      </c>
      <c r="D54" s="28" t="n">
        <f aca="false">'B-Canada'!D58</f>
        <v>6.72</v>
      </c>
      <c r="E54" s="28" t="n">
        <f aca="false">'B-US'!D58</f>
        <v>6.72</v>
      </c>
      <c r="F54" s="28" t="n">
        <f aca="false">'C-Canada'!D58</f>
        <v>336</v>
      </c>
      <c r="G54" s="28" t="n">
        <f aca="false">'C-US'!D58</f>
        <v>336</v>
      </c>
    </row>
    <row r="55" customFormat="false" ht="15" hidden="false" customHeight="false" outlineLevel="0" collapsed="false">
      <c r="A55" s="2" t="s">
        <v>244</v>
      </c>
      <c r="B55" s="28" t="n">
        <f aca="false">'A-Canada'!D59</f>
        <v>14.2324352</v>
      </c>
      <c r="C55" s="28" t="n">
        <f aca="false">'A-US'!D59</f>
        <v>14.2324352</v>
      </c>
      <c r="D55" s="28" t="n">
        <f aca="false">'B-Canada'!D59</f>
        <v>54.0840896</v>
      </c>
      <c r="E55" s="28" t="n">
        <f aca="false">'B-US'!D59</f>
        <v>54.0840896</v>
      </c>
      <c r="F55" s="28" t="n">
        <f aca="false">'C-Canada'!D59</f>
        <v>2704.20448</v>
      </c>
      <c r="G55" s="28" t="n">
        <f aca="false">'C-US'!D59</f>
        <v>2704.20448</v>
      </c>
    </row>
    <row r="56" customFormat="false" ht="15" hidden="false" customHeight="false" outlineLevel="0" collapsed="false">
      <c r="A56" s="2" t="s">
        <v>245</v>
      </c>
      <c r="B56" s="28" t="n">
        <f aca="false">'A-Canada'!D60</f>
        <v>15</v>
      </c>
      <c r="C56" s="28" t="n">
        <f aca="false">'A-US'!D60</f>
        <v>0</v>
      </c>
      <c r="D56" s="28" t="n">
        <f aca="false">'B-Canada'!D60</f>
        <v>15</v>
      </c>
      <c r="E56" s="28" t="n">
        <f aca="false">'B-US'!D60</f>
        <v>99</v>
      </c>
      <c r="F56" s="28" t="n">
        <f aca="false">'C-Canada'!D60</f>
        <v>93</v>
      </c>
      <c r="G56" s="28" t="n">
        <f aca="false">'C-US'!D60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2026-10-29T04:45:56Z</dcterms:created>
  <dc:creator>openpyxl</dc:creator>
  <dc:description/>
  <dc:language>en-US</dc:language>
  <cp:lastModifiedBy/>
  <dcterms:modified xsi:type="dcterms:W3CDTF">2026-10-29T04:45:56Z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